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rawabitechnology-my.sharepoint.com/personal/ahmed_abdelzaher_risal_com/Documents/Desktop/Mastering Excel/Alex the analyst/"/>
    </mc:Choice>
  </mc:AlternateContent>
  <xr:revisionPtr revIDLastSave="420" documentId="8_{ABC04089-7769-4E43-9915-B025B1F01043}" xr6:coauthVersionLast="47" xr6:coauthVersionMax="47" xr10:uidLastSave="{A3B58AF7-3477-43F6-97D7-ACBA9C003C23}"/>
  <bookViews>
    <workbookView xWindow="-108" yWindow="-108" windowWidth="23256" windowHeight="12456" tabRatio="572" activeTab="3" xr2:uid="{00000000-000D-0000-FFFF-FFFF00000000}"/>
  </bookViews>
  <sheets>
    <sheet name="bike_buyers" sheetId="4" r:id="rId1"/>
    <sheet name="Working sheet" sheetId="1" r:id="rId2"/>
    <sheet name="Pivote table" sheetId="3" r:id="rId3"/>
    <sheet name="Dasshboard" sheetId="2" r:id="rId4"/>
  </sheets>
  <definedNames>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<sst xmlns="http://schemas.openxmlformats.org/spreadsheetml/2006/main" count="16274" uniqueCount="51">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</sst>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Dataset.xlsx]Pivote table!PivotTable1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'Pivote table'!$B$1:$B$2</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table'!$A$3:$A$5</c:f>
              <c:strCache>
                <c:ptCount val="2"/>
                <c:pt idx="0">
                  <c:v>Female</c:v>
                </c:pt>
                <c:pt idx="1">
                  <c:v>Male</c:v>
                </c:pt>
              </c:strCache>
            </c:strRef>
          </c:cat>
          <c:val>
            <c:numRef>
              <c:f>'Pivote table'!$B$3:$B$5</c:f>
              <c:numCache>
                <c:formatCode>"$"#,##0.00</c:formatCode>
                <c:ptCount val="2"/>
                <c:pt idx="0">
                  <c:v>53440</c:v>
                </c:pt>
                <c:pt idx="1">
                  <c:v>56208.178438661707</c:v>
                </c:pt>
              </c:numCache>
            </c:numRef>
          </c:val>
          <c:extLst>
            <c:ext xmlns:c16="http://schemas.microsoft.com/office/drawing/2014/chart" uri="{C3380CC4-5D6E-409C-BE32-E72D297353CC}">
              <c16:uniqueId val="{00000000-9B29-4EFD-A72B-E79C6B8E92C8}"/>
            </c:ext>
          </c:extLst>
        </c:ser>
        <c:ser>
          <c:idx val="1"/>
          <c:order val="1"/>
          <c:tx>
            <c:strRef>
              <c:f>'Pivote table'!$C$1:$C$2</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table'!$A$3:$A$5</c:f>
              <c:strCache>
                <c:ptCount val="2"/>
                <c:pt idx="0">
                  <c:v>Female</c:v>
                </c:pt>
                <c:pt idx="1">
                  <c:v>Male</c:v>
                </c:pt>
              </c:strCache>
            </c:strRef>
          </c:cat>
          <c:val>
            <c:numRef>
              <c:f>'Pivote table'!$C$3:$C$5</c:f>
              <c:numCache>
                <c:formatCode>"$"#,##0.00</c:formatCode>
                <c:ptCount val="2"/>
                <c:pt idx="0">
                  <c:v>55774.058577405856</c:v>
                </c:pt>
                <c:pt idx="1">
                  <c:v>60123.966942148763</c:v>
                </c:pt>
              </c:numCache>
            </c:numRef>
          </c:val>
          <c:extLst>
            <c:ext xmlns:c16="http://schemas.microsoft.com/office/drawing/2014/chart" uri="{C3380CC4-5D6E-409C-BE32-E72D297353CC}">
              <c16:uniqueId val="{00000001-9B29-4EFD-A72B-E79C6B8E92C8}"/>
            </c:ext>
          </c:extLst>
        </c:ser>
        <c:dLbls>
          <c:showLegendKey val="0"/>
          <c:showVal val="1"/>
          <c:showCatName val="0"/>
          <c:showSerName val="0"/>
          <c:showPercent val="0"/>
          <c:showBubbleSize val="0"/>
        </c:dLbls>
        <c:gapWidth val="150"/>
        <c:shape val="box"/>
        <c:axId val="265698720"/>
        <c:axId val="265695840"/>
        <c:axId val="0"/>
      </c:bar3DChart>
      <c:catAx>
        <c:axId val="265698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695840"/>
        <c:crosses val="autoZero"/>
        <c:auto val="1"/>
        <c:lblAlgn val="ctr"/>
        <c:lblOffset val="100"/>
        <c:noMultiLvlLbl val="0"/>
      </c:catAx>
      <c:valAx>
        <c:axId val="2656958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69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Dataset.xlsx]Pivote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a:t>
            </a:r>
            <a:r>
              <a:rPr lang="en-US" sz="1400" b="0" i="0" u="none" strike="noStrike" kern="1200" spc="0" baseline="0">
                <a:solidFill>
                  <a:sysClr val="windowText" lastClr="000000">
                    <a:lumMod val="65000"/>
                    <a:lumOff val="35000"/>
                  </a:sysClr>
                </a:solidFill>
                <a:latin typeface="+mn-lt"/>
                <a:ea typeface="+mn-ea"/>
                <a:cs typeface="+mn-cs"/>
              </a:rPr>
              <a:t>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table'!$B$24:$B$25</c:f>
              <c:strCache>
                <c:ptCount val="1"/>
                <c:pt idx="0">
                  <c:v>No</c:v>
                </c:pt>
              </c:strCache>
            </c:strRef>
          </c:tx>
          <c:spPr>
            <a:ln w="28575" cap="rnd">
              <a:solidFill>
                <a:schemeClr val="accent1"/>
              </a:solidFill>
              <a:round/>
            </a:ln>
            <a:effectLst/>
          </c:spPr>
          <c:marker>
            <c:symbol val="none"/>
          </c:marker>
          <c:cat>
            <c:strRef>
              <c:f>'Pivote table'!$A$26:$A$31</c:f>
              <c:strCache>
                <c:ptCount val="5"/>
                <c:pt idx="0">
                  <c:v>0-1 Miles</c:v>
                </c:pt>
                <c:pt idx="1">
                  <c:v>1-2 Miles</c:v>
                </c:pt>
                <c:pt idx="2">
                  <c:v>2-5 Miles</c:v>
                </c:pt>
                <c:pt idx="3">
                  <c:v>5-10 Miles</c:v>
                </c:pt>
                <c:pt idx="4">
                  <c:v>More than 10 Miles</c:v>
                </c:pt>
              </c:strCache>
            </c:strRef>
          </c:cat>
          <c:val>
            <c:numRef>
              <c:f>'Pivote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503-4D63-8D23-A55235DBA795}"/>
            </c:ext>
          </c:extLst>
        </c:ser>
        <c:ser>
          <c:idx val="1"/>
          <c:order val="1"/>
          <c:tx>
            <c:strRef>
              <c:f>'Pivote table'!$C$24:$C$25</c:f>
              <c:strCache>
                <c:ptCount val="1"/>
                <c:pt idx="0">
                  <c:v>Yes</c:v>
                </c:pt>
              </c:strCache>
            </c:strRef>
          </c:tx>
          <c:spPr>
            <a:ln w="28575" cap="rnd">
              <a:solidFill>
                <a:schemeClr val="accent2"/>
              </a:solidFill>
              <a:round/>
            </a:ln>
            <a:effectLst/>
          </c:spPr>
          <c:marker>
            <c:symbol val="none"/>
          </c:marker>
          <c:cat>
            <c:strRef>
              <c:f>'Pivote table'!$A$26:$A$31</c:f>
              <c:strCache>
                <c:ptCount val="5"/>
                <c:pt idx="0">
                  <c:v>0-1 Miles</c:v>
                </c:pt>
                <c:pt idx="1">
                  <c:v>1-2 Miles</c:v>
                </c:pt>
                <c:pt idx="2">
                  <c:v>2-5 Miles</c:v>
                </c:pt>
                <c:pt idx="3">
                  <c:v>5-10 Miles</c:v>
                </c:pt>
                <c:pt idx="4">
                  <c:v>More than 10 Miles</c:v>
                </c:pt>
              </c:strCache>
            </c:strRef>
          </c:cat>
          <c:val>
            <c:numRef>
              <c:f>'Pivote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503-4D63-8D23-A55235DBA795}"/>
            </c:ext>
          </c:extLst>
        </c:ser>
        <c:dLbls>
          <c:showLegendKey val="0"/>
          <c:showVal val="0"/>
          <c:showCatName val="0"/>
          <c:showSerName val="0"/>
          <c:showPercent val="0"/>
          <c:showBubbleSize val="0"/>
        </c:dLbls>
        <c:smooth val="0"/>
        <c:axId val="224703456"/>
        <c:axId val="224703936"/>
      </c:lineChart>
      <c:catAx>
        <c:axId val="224703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703936"/>
        <c:crosses val="autoZero"/>
        <c:auto val="1"/>
        <c:lblAlgn val="ctr"/>
        <c:lblOffset val="100"/>
        <c:noMultiLvlLbl val="0"/>
      </c:catAx>
      <c:valAx>
        <c:axId val="224703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Axis Purchased bike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70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Dataset.xlsx]Pivote table!PivotTable3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'Pivote table'!$A$43:$A$46</c:f>
              <c:strCache>
                <c:ptCount val="3"/>
                <c:pt idx="0">
                  <c:v>Adolescent</c:v>
                </c:pt>
                <c:pt idx="1">
                  <c:v>Middle Age</c:v>
                </c:pt>
                <c:pt idx="2">
                  <c:v>Old</c:v>
                </c:pt>
              </c:strCache>
            </c:strRef>
          </c:cat>
          <c:val>
            <c:numRef>
              <c:f>'Pivote table'!$B$43:$B$46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EE52-4551-9C0F-9ECEDD0D4EFE}"/>
            </c:ext>
          </c:extLst>
        </c:ser>
        <c:ser>
          <c:idx val="1"/>
          <c:order val="1"/>
          <c:tx>
            <c:strRef>
              <c:f>'Pivote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'Pivote table'!$A$43:$A$46</c:f>
              <c:strCache>
                <c:ptCount val="3"/>
                <c:pt idx="0">
                  <c:v>Adolescent</c:v>
                </c:pt>
                <c:pt idx="1">
                  <c:v>Middle Age</c:v>
                </c:pt>
                <c:pt idx="2">
                  <c:v>Old</c:v>
                </c:pt>
              </c:strCache>
            </c:strRef>
          </c:cat>
          <c:val>
            <c:numRef>
              <c:f>'Pivote table'!$C$43:$C$46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EE52-4551-9C0F-9ECEDD0D4EFE}"/>
            </c:ext>
          </c:extLst>
        </c:ser>
        <c:dLbls>
          <c:showLegendKey val="0"/>
          <c:showVal val="0"/>
          <c:showCatName val="0"/>
          <c:showSerName val="0"/>
          <c:showPercent val="0"/>
          <c:showBubbleSize val="0"/>
        </c:dLbls>
        <c:marker val="1"/>
        <c:smooth val="0"/>
        <c:axId val="292360704"/>
        <c:axId val="292359744"/>
      </c:lineChart>
      <c:catAx>
        <c:axId val="29236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359744"/>
        <c:crosses val="autoZero"/>
        <c:auto val="1"/>
        <c:lblAlgn val="ctr"/>
        <c:lblOffset val="100"/>
        <c:noMultiLvlLbl val="0"/>
      </c:catAx>
      <c:valAx>
        <c:axId val="292359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36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Dataset.xlsx]Pivote table!PivotTable5</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table'!$B$58:$B$59</c:f>
              <c:strCache>
                <c:ptCount val="1"/>
                <c:pt idx="0">
                  <c:v>No</c:v>
                </c:pt>
              </c:strCache>
            </c:strRef>
          </c:tx>
          <c:spPr>
            <a:ln w="28575" cap="rnd">
              <a:solidFill>
                <a:schemeClr val="accent1"/>
              </a:solidFill>
              <a:round/>
            </a:ln>
            <a:effectLst/>
          </c:spPr>
          <c:marker>
            <c:symbol val="none"/>
          </c:marker>
          <c:cat>
            <c:strRef>
              <c:f>'Pivote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'Pivote table'!$B$60:$B$113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C6CD-431F-9817-ADBC7508CC3D}"/>
            </c:ext>
          </c:extLst>
        </c:ser>
        <c:ser>
          <c:idx val="1"/>
          <c:order val="1"/>
          <c:tx>
            <c:strRef>
              <c:f>'Pivote table'!$C$58:$C$59</c:f>
              <c:strCache>
                <c:ptCount val="1"/>
                <c:pt idx="0">
                  <c:v>Yes</c:v>
                </c:pt>
              </c:strCache>
            </c:strRef>
          </c:tx>
          <c:spPr>
            <a:ln w="28575" cap="rnd">
              <a:solidFill>
                <a:schemeClr val="accent2"/>
              </a:solidFill>
              <a:round/>
            </a:ln>
            <a:effectLst/>
          </c:spPr>
          <c:marker>
            <c:symbol val="none"/>
          </c:marker>
          <c:cat>
            <c:strRef>
              <c:f>'Pivote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'Pivote table'!$C$60:$C$113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C6CD-431F-9817-ADBC7508CC3D}"/>
            </c:ext>
          </c:extLst>
        </c:ser>
        <c:dLbls>
          <c:showLegendKey val="0"/>
          <c:showVal val="0"/>
          <c:showCatName val="0"/>
          <c:showSerName val="0"/>
          <c:showPercent val="0"/>
          <c:showBubbleSize val="0"/>
        </c:dLbls>
        <c:smooth val="0"/>
        <c:axId val="302902400"/>
        <c:axId val="250780304"/>
      </c:lineChart>
      <c:catAx>
        <c:axId val="30290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780304"/>
        <c:crosses val="autoZero"/>
        <c:auto val="1"/>
        <c:lblAlgn val="ctr"/>
        <c:lblOffset val="100"/>
        <c:noMultiLvlLbl val="0"/>
      </c:catAx>
      <c:valAx>
        <c:axId val="25078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90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Dataset.xlsx]Pivote table!PivotTable1</c:name>
    <c:fmtId val="4"/>
  </c:pivotSource>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'Pivote table'!$B$1:$B$2</c:f>
              <c:strCache>
                <c:ptCount val="1"/>
                <c:pt idx="0">
                  <c:v>No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table'!$A$3:$A$5</c:f>
              <c:strCache>
                <c:ptCount val="2"/>
                <c:pt idx="0">
                  <c:v>Female</c:v>
                </c:pt>
                <c:pt idx="1">
                  <c:v>Male</c:v>
                </c:pt>
              </c:strCache>
            </c:strRef>
          </c:cat>
          <c:val>
            <c:numRef>
              <c:f>'Pivote table'!$B$3:$B$5</c:f>
              <c:numCache>
                <c:formatCode>"$"#,##0.00</c:formatCode>
                <c:ptCount val="2"/>
                <c:pt idx="0">
                  <c:v>53440</c:v>
                </c:pt>
                <c:pt idx="1">
                  <c:v>56208.178438661707</c:v>
                </c:pt>
              </c:numCache>
            </c:numRef>
          </c:val>
          <c:extLst>
            <c:ext xmlns:c16="http://schemas.microsoft.com/office/drawing/2014/chart" uri="{C3380CC4-5D6E-409C-BE32-E72D297353CC}">
              <c16:uniqueId val="{00000000-54D1-46FF-A848-32AAFD3E4E29}"/>
            </c:ext>
          </c:extLst>
        </c:ser>
        <c:ser>
          <c:idx val="1"/>
          <c:order val="1"/>
          <c:tx>
            <c:strRef>
              <c:f>'Pivote table'!$C$1:$C$2</c:f>
              <c:strCache>
                <c:ptCount val="1"/>
                <c:pt idx="0">
                  <c:v>Yes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table'!$A$3:$A$5</c:f>
              <c:strCache>
                <c:ptCount val="2"/>
                <c:pt idx="0">
                  <c:v>Female</c:v>
                </c:pt>
                <c:pt idx="1">
                  <c:v>Male</c:v>
                </c:pt>
              </c:strCache>
            </c:strRef>
          </c:cat>
          <c:val>
            <c:numRef>
              <c:f>'Pivote table'!$C$3:$C$5</c:f>
              <c:numCache>
                <c:formatCode>"$"#,##0.00</c:formatCode>
                <c:ptCount val="2"/>
                <c:pt idx="0">
                  <c:v>55774.058577405856</c:v>
                </c:pt>
                <c:pt idx="1">
                  <c:v>60123.966942148763</c:v>
                </c:pt>
              </c:numCache>
            </c:numRef>
          </c:val>
          <c:extLst>
            <c:ext xmlns:c16="http://schemas.microsoft.com/office/drawing/2014/chart" uri="{C3380CC4-5D6E-409C-BE32-E72D297353CC}">
              <c16:uniqueId val="{00000001-54D1-46FF-A848-32AAFD3E4E29}"/>
            </c:ext>
          </c:extLst>
        </c:ser>
        <c:dLbls>
          <c:showLegendKey val="0"/>
          <c:showVal val="1"/>
          <c:showCatName val="0"/>
          <c:showSerName val="0"/>
          <c:showPercent val="0"/>
          <c:showBubbleSize val="0"/>
        </c:dLbls>
        <c:gapWidth val="150"/>
        <c:shape val="box"/>
        <c:axId val="265698720"/>
        <c:axId val="265695840"/>
        <c:axId val="0"/>
      </c:bar3DChart>
      <c:catAx>
        <c:axId val="265698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695840"/>
        <c:crosses val="autoZero"/>
        <c:auto val="1"/>
        <c:lblAlgn val="ctr"/>
        <c:lblOffset val="100"/>
        <c:noMultiLvlLbl val="0"/>
      </c:catAx>
      <c:valAx>
        <c:axId val="2656958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69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Dataset.xlsx]Pivote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Customer </a:t>
            </a:r>
            <a:r>
              <a:rPr lang="en-US" sz="1400" b="0" i="0" u="none" strike="noStrike" kern="1200" spc="0" baseline="0">
                <a:solidFill>
                  <a:sysClr val="windowText" lastClr="000000">
                    <a:lumMod val="65000"/>
                    <a:lumOff val="35000"/>
                  </a:sysClr>
                </a:solidFill>
                <a:latin typeface="+mn-lt"/>
                <a:ea typeface="+mn-ea"/>
                <a:cs typeface="+mn-cs"/>
              </a:rPr>
              <a:t>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table'!$B$24:$B$25</c:f>
              <c:strCache>
                <c:ptCount val="1"/>
                <c:pt idx="0">
                  <c:v>No</c:v>
                </c:pt>
              </c:strCache>
            </c:strRef>
          </c:tx>
          <c:spPr>
            <a:ln w="28575" cap="rnd">
              <a:solidFill>
                <a:schemeClr val="accent1"/>
              </a:solidFill>
              <a:round/>
            </a:ln>
            <a:effectLst/>
          </c:spPr>
          <c:marker>
            <c:symbol val="none"/>
          </c:marker>
          <c:cat>
            <c:strRef>
              <c:f>'Pivote table'!$A$26:$A$31</c:f>
              <c:strCache>
                <c:ptCount val="5"/>
                <c:pt idx="0">
                  <c:v>0-1 Miles</c:v>
                </c:pt>
                <c:pt idx="1">
                  <c:v>1-2 Miles</c:v>
                </c:pt>
                <c:pt idx="2">
                  <c:v>2-5 Miles</c:v>
                </c:pt>
                <c:pt idx="3">
                  <c:v>5-10 Miles</c:v>
                </c:pt>
                <c:pt idx="4">
                  <c:v>More than 10 Miles</c:v>
                </c:pt>
              </c:strCache>
            </c:strRef>
          </c:cat>
          <c:val>
            <c:numRef>
              <c:f>'Pivote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E3BF-4A50-A1CE-9B33D061872F}"/>
            </c:ext>
          </c:extLst>
        </c:ser>
        <c:ser>
          <c:idx val="1"/>
          <c:order val="1"/>
          <c:tx>
            <c:strRef>
              <c:f>'Pivote table'!$C$24:$C$25</c:f>
              <c:strCache>
                <c:ptCount val="1"/>
                <c:pt idx="0">
                  <c:v>Yes</c:v>
                </c:pt>
              </c:strCache>
            </c:strRef>
          </c:tx>
          <c:spPr>
            <a:ln w="28575" cap="rnd">
              <a:solidFill>
                <a:schemeClr val="accent2"/>
              </a:solidFill>
              <a:round/>
            </a:ln>
            <a:effectLst/>
          </c:spPr>
          <c:marker>
            <c:symbol val="none"/>
          </c:marker>
          <c:cat>
            <c:strRef>
              <c:f>'Pivote table'!$A$26:$A$31</c:f>
              <c:strCache>
                <c:ptCount val="5"/>
                <c:pt idx="0">
                  <c:v>0-1 Miles</c:v>
                </c:pt>
                <c:pt idx="1">
                  <c:v>1-2 Miles</c:v>
                </c:pt>
                <c:pt idx="2">
                  <c:v>2-5 Miles</c:v>
                </c:pt>
                <c:pt idx="3">
                  <c:v>5-10 Miles</c:v>
                </c:pt>
                <c:pt idx="4">
                  <c:v>More than 10 Miles</c:v>
                </c:pt>
              </c:strCache>
            </c:strRef>
          </c:cat>
          <c:val>
            <c:numRef>
              <c:f>'Pivote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E3BF-4A50-A1CE-9B33D061872F}"/>
            </c:ext>
          </c:extLst>
        </c:ser>
        <c:dLbls>
          <c:showLegendKey val="0"/>
          <c:showVal val="0"/>
          <c:showCatName val="0"/>
          <c:showSerName val="0"/>
          <c:showPercent val="0"/>
          <c:showBubbleSize val="0"/>
        </c:dLbls>
        <c:smooth val="0"/>
        <c:axId val="224703456"/>
        <c:axId val="224703936"/>
      </c:lineChart>
      <c:catAx>
        <c:axId val="2247034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703936"/>
        <c:crosses val="autoZero"/>
        <c:auto val="1"/>
        <c:lblAlgn val="ctr"/>
        <c:lblOffset val="100"/>
        <c:noMultiLvlLbl val="0"/>
      </c:catAx>
      <c:valAx>
        <c:axId val="224703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Axis Purchased bike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703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Dataset.xlsx]Pivote table!PivotTable3</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'Pivote table'!$A$43:$A$46</c:f>
              <c:strCache>
                <c:ptCount val="3"/>
                <c:pt idx="0">
                  <c:v>Adolescent</c:v>
                </c:pt>
                <c:pt idx="1">
                  <c:v>Middle Age</c:v>
                </c:pt>
                <c:pt idx="2">
                  <c:v>Old</c:v>
                </c:pt>
              </c:strCache>
            </c:strRef>
          </c:cat>
          <c:val>
            <c:numRef>
              <c:f>'Pivote table'!$B$43:$B$46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4FD7-44C1-B0D1-FC08F06AC545}"/>
            </c:ext>
          </c:extLst>
        </c:ser>
        <c:ser>
          <c:idx val="1"/>
          <c:order val="1"/>
          <c:tx>
            <c:strRef>
              <c:f>'Pivote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'Pivote table'!$A$43:$A$46</c:f>
              <c:strCache>
                <c:ptCount val="3"/>
                <c:pt idx="0">
                  <c:v>Adolescent</c:v>
                </c:pt>
                <c:pt idx="1">
                  <c:v>Middle Age</c:v>
                </c:pt>
                <c:pt idx="2">
                  <c:v>Old</c:v>
                </c:pt>
              </c:strCache>
            </c:strRef>
          </c:cat>
          <c:val>
            <c:numRef>
              <c:f>'Pivote table'!$C$43:$C$46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4FD7-44C1-B0D1-FC08F06AC545}"/>
            </c:ext>
          </c:extLst>
        </c:ser>
        <c:dLbls>
          <c:showLegendKey val="0"/>
          <c:showVal val="0"/>
          <c:showCatName val="0"/>
          <c:showSerName val="0"/>
          <c:showPercent val="0"/>
          <c:showBubbleSize val="0"/>
        </c:dLbls>
        <c:marker val="1"/>
        <c:smooth val="0"/>
        <c:axId val="292360704"/>
        <c:axId val="292359744"/>
      </c:lineChart>
      <c:catAx>
        <c:axId val="29236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359744"/>
        <c:crosses val="autoZero"/>
        <c:auto val="1"/>
        <c:lblAlgn val="ctr"/>
        <c:lblOffset val="100"/>
        <c:noMultiLvlLbl val="0"/>
      </c:catAx>
      <c:valAx>
        <c:axId val="292359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36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Dataset.xlsx]Pivote table!PivotTable5</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table'!$B$58:$B$59</c:f>
              <c:strCache>
                <c:ptCount val="1"/>
                <c:pt idx="0">
                  <c:v>No</c:v>
                </c:pt>
              </c:strCache>
            </c:strRef>
          </c:tx>
          <c:spPr>
            <a:ln w="28575" cap="rnd">
              <a:solidFill>
                <a:schemeClr val="accent1"/>
              </a:solidFill>
              <a:round/>
            </a:ln>
            <a:effectLst/>
          </c:spPr>
          <c:marker>
            <c:symbol val="none"/>
          </c:marker>
          <c:cat>
            <c:strRef>
              <c:f>'Pivote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'Pivote table'!$B$60:$B$113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87A5-4ACD-BD0D-E4A69B9A917E}"/>
            </c:ext>
          </c:extLst>
        </c:ser>
        <c:ser>
          <c:idx val="1"/>
          <c:order val="1"/>
          <c:tx>
            <c:strRef>
              <c:f>'Pivote table'!$C$58:$C$59</c:f>
              <c:strCache>
                <c:ptCount val="1"/>
                <c:pt idx="0">
                  <c:v>Yes</c:v>
                </c:pt>
              </c:strCache>
            </c:strRef>
          </c:tx>
          <c:spPr>
            <a:ln w="28575" cap="rnd">
              <a:solidFill>
                <a:schemeClr val="accent2"/>
              </a:solidFill>
              <a:round/>
            </a:ln>
            <a:effectLst/>
          </c:spPr>
          <c:marker>
            <c:symbol val="none"/>
          </c:marker>
          <c:cat>
            <c:strRef>
              <c:f>'Pivote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'Pivote table'!$C$60:$C$113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87A5-4ACD-BD0D-E4A69B9A917E}"/>
            </c:ext>
          </c:extLst>
        </c:ser>
        <c:dLbls>
          <c:showLegendKey val="0"/>
          <c:showVal val="0"/>
          <c:showCatName val="0"/>
          <c:showSerName val="0"/>
          <c:showPercent val="0"/>
          <c:showBubbleSize val="0"/>
        </c:dLbls>
        <c:smooth val="0"/>
        <c:axId val="302902400"/>
        <c:axId val="250780304"/>
      </c:lineChart>
      <c:catAx>
        <c:axId val="30290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780304"/>
        <c:crosses val="autoZero"/>
        <c:auto val="1"/>
        <c:lblAlgn val="ctr"/>
        <c:lblOffset val="100"/>
        <c:noMultiLvlLbl val="0"/>
      </c:catAx>
      <c:valAx>
        <c:axId val="250780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90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205740</xdr:colOff>
      <xdr:row>6</xdr:row>
      <xdr:rowOff>41910</xdr:rowOff>
    </xdr:from>
    <xdr:to>
      <xdr:col>10</xdr:col>
      <xdr:colOff>381000</xdr:colOff>
      <xdr:row>21</xdr:row>
      <xdr:rowOff>41910</xdr:rowOff>
    </xdr:to>
    <xdr:graphicFrame macro="">
      <xdr:nvGraphicFramePr>
        <xdr:cNvPr id="2" name="Chart 1">
          <a:extLst>
            <a:ext uri="{FF2B5EF4-FFF2-40B4-BE49-F238E27FC236}">
              <a16:creationId xmlns:a16="http://schemas.microsoft.com/office/drawing/2014/main" id="{14FEC286-C589-AFCE-6533-CEF0C16EA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411480</xdr:colOff>
      <xdr:row>22</xdr:row>
      <xdr:rowOff>163830</xdr:rowOff>
    </xdr:from>
    <xdr:to>
      <xdr:col>11</xdr:col>
      <xdr:colOff>60960</xdr:colOff>
      <xdr:row>37</xdr:row>
      <xdr:rowOff>163830</xdr:rowOff>
    </xdr:to>
    <xdr:graphicFrame macro="">
      <xdr:nvGraphicFramePr>
        <xdr:cNvPr id="3" name="Chart 2">
          <a:extLst>
            <a:ext uri="{FF2B5EF4-FFF2-40B4-BE49-F238E27FC236}">
              <a16:creationId xmlns:a16="http://schemas.microsoft.com/office/drawing/2014/main" id="{70BC4C8E-D666-A3B0-79E6-A008780F95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472440</xdr:colOff>
      <xdr:row>39</xdr:row>
      <xdr:rowOff>3810</xdr:rowOff>
    </xdr:from>
    <xdr:to>
      <xdr:col>11</xdr:col>
      <xdr:colOff>121920</xdr:colOff>
      <xdr:row>54</xdr:row>
      <xdr:rowOff>3810</xdr:rowOff>
    </xdr:to>
    <xdr:graphicFrame macro="">
      <xdr:nvGraphicFramePr>
        <xdr:cNvPr id="4" name="Chart 3">
          <a:extLst>
            <a:ext uri="{FF2B5EF4-FFF2-40B4-BE49-F238E27FC236}">
              <a16:creationId xmlns:a16="http://schemas.microsoft.com/office/drawing/2014/main" id="{B143E741-C3D4-F284-4C40-FE29E0B54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640080</xdr:colOff>
      <xdr:row>58</xdr:row>
      <xdr:rowOff>64770</xdr:rowOff>
    </xdr:from>
    <xdr:to>
      <xdr:col>11</xdr:col>
      <xdr:colOff>289560</xdr:colOff>
      <xdr:row>73</xdr:row>
      <xdr:rowOff>64770</xdr:rowOff>
    </xdr:to>
    <xdr:graphicFrame macro="">
      <xdr:nvGraphicFramePr>
        <xdr:cNvPr id="6" name="Chart 5">
          <a:extLst>
            <a:ext uri="{FF2B5EF4-FFF2-40B4-BE49-F238E27FC236}">
              <a16:creationId xmlns:a16="http://schemas.microsoft.com/office/drawing/2014/main" id="{1B068094-45C5-D1AC-8EF9-B82EDB714A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4</xdr:row>
      <xdr:rowOff>0</xdr:rowOff>
    </xdr:from>
    <xdr:to>
      <xdr:col>10</xdr:col>
      <xdr:colOff>0</xdr:colOff>
      <xdr:row>15</xdr:row>
      <xdr:rowOff>144780</xdr:rowOff>
    </xdr:to>
    <xdr:graphicFrame macro="">
      <xdr:nvGraphicFramePr>
        <xdr:cNvPr id="2" name="Chart 1">
          <a:extLst>
            <a:ext uri="{FF2B5EF4-FFF2-40B4-BE49-F238E27FC236}">
              <a16:creationId xmlns:a16="http://schemas.microsoft.com/office/drawing/2014/main" id="{998161AD-8937-44C6-BCFA-57E522AB95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4</xdr:row>
      <xdr:rowOff>40639</xdr:rowOff>
    </xdr:from>
    <xdr:to>
      <xdr:col>16</xdr:col>
      <xdr:colOff>0</xdr:colOff>
      <xdr:row>15</xdr:row>
      <xdr:rowOff>144780</xdr:rowOff>
    </xdr:to>
    <xdr:graphicFrame macro="">
      <xdr:nvGraphicFramePr>
        <xdr:cNvPr id="3" name="Chart 2">
          <a:extLst>
            <a:ext uri="{FF2B5EF4-FFF2-40B4-BE49-F238E27FC236}">
              <a16:creationId xmlns:a16="http://schemas.microsoft.com/office/drawing/2014/main" id="{0D81A255-C054-4974-8C3D-FB29CEE4D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15240</xdr:colOff>
      <xdr:row>16</xdr:row>
      <xdr:rowOff>7620</xdr:rowOff>
    </xdr:from>
    <xdr:to>
      <xdr:col>10</xdr:col>
      <xdr:colOff>0</xdr:colOff>
      <xdr:row>28</xdr:row>
      <xdr:rowOff>0</xdr:rowOff>
    </xdr:to>
    <xdr:graphicFrame macro="">
      <xdr:nvGraphicFramePr>
        <xdr:cNvPr id="4" name="Chart 3">
          <a:extLst>
            <a:ext uri="{FF2B5EF4-FFF2-40B4-BE49-F238E27FC236}">
              <a16:creationId xmlns:a16="http://schemas.microsoft.com/office/drawing/2014/main" id="{99E11A09-35E2-4D61-9FC1-EE2F2E2AE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16</xdr:row>
      <xdr:rowOff>7620</xdr:rowOff>
    </xdr:from>
    <xdr:to>
      <xdr:col>16</xdr:col>
      <xdr:colOff>0</xdr:colOff>
      <xdr:row>28</xdr:row>
      <xdr:rowOff>0</xdr:rowOff>
    </xdr:to>
    <xdr:graphicFrame macro="">
      <xdr:nvGraphicFramePr>
        <xdr:cNvPr id="5" name="Chart 4">
          <a:extLst>
            <a:ext uri="{FF2B5EF4-FFF2-40B4-BE49-F238E27FC236}">
              <a16:creationId xmlns:a16="http://schemas.microsoft.com/office/drawing/2014/main" id="{9F8E1DB7-804E-4A5A-8F9F-8D2442D75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601980</xdr:colOff>
      <xdr:row>4</xdr:row>
      <xdr:rowOff>0</xdr:rowOff>
    </xdr:from>
    <xdr:to>
      <xdr:col>3</xdr:col>
      <xdr:colOff>579120</xdr:colOff>
      <xdr:row>10</xdr:row>
      <xdr:rowOff>18626</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DC49B971-3F9E-9812-3150-935B7BC6C20C}"/>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01980" y="745067"/>
              <a:ext cx="1805940" cy="1136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7620</xdr:colOff>
      <xdr:row>9</xdr:row>
      <xdr:rowOff>135467</xdr:rowOff>
    </xdr:from>
    <xdr:to>
      <xdr:col>3</xdr:col>
      <xdr:colOff>586740</xdr:colOff>
      <xdr:row>20</xdr:row>
      <xdr:rowOff>1</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C056B0A2-9646-0826-A14E-9765A1AE5B7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17220" y="1811867"/>
              <a:ext cx="1798320" cy="19134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15240</xdr:colOff>
      <xdr:row>20</xdr:row>
      <xdr:rowOff>0</xdr:rowOff>
    </xdr:from>
    <xdr:to>
      <xdr:col>3</xdr:col>
      <xdr:colOff>579120</xdr:colOff>
      <xdr:row>27</xdr:row>
      <xdr:rowOff>186266</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86C100D6-E724-E99D-5D92-56ED147E8C9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4840" y="3725333"/>
              <a:ext cx="1783080" cy="14901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Abdelzaher" refreshedDate="46049.634908564818" createdVersion="8" refreshedVersion="8" minRefreshableVersion="3" recordCount="1000" xr:uid="{1E212FBE-9D83-4292-B49A-D5DA4C0D254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3338069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C143A0-78BC-4E53-84D3-4F6C49ADD8B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58:D113"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6BE8A7-0D43-48B1-A3BA-A1740DD7A17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1:D4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8777BD-898E-45DC-9FB2-1D5E16DF5AB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4:D31"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8">
        <item x="0"/>
        <item m="1" x="5"/>
        <item m="1" x="6"/>
        <item x="3"/>
        <item x="1"/>
        <item x="2"/>
        <item x="4"/>
        <item t="default"/>
      </items>
    </pivotField>
    <pivotField showAll="0">
      <items count="4">
        <item x="0"/>
        <item x="2"/>
        <item x="1"/>
        <item t="default"/>
      </items>
    </pivotField>
    <pivotField showAll="0"/>
    <pivotField showAll="0"/>
    <pivotField axis="axisCol" dataField="1" showAll="0" sortType="ascending">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90F906-7AB4-4936-A44D-232F4905F9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4"/>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480AD76-C3F6-44B1-952F-959A59A5F9C4}" sourceName="Marital Status">
  <pivotTables>
    <pivotTable tabId="3" name="PivotTable1"/>
    <pivotTable tabId="3" name="PivotTable2"/>
    <pivotTable tabId="3" name="PivotTable3"/>
    <pivotTable tabId="3" name="PivotTable5"/>
  </pivotTables>
  <data>
    <tabular pivotCacheId="133380698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D998DE6-F6C8-42B3-BEF3-2ACD9AA2FCDE}" sourceName="Education">
  <pivotTables>
    <pivotTable tabId="3" name="PivotTable1"/>
    <pivotTable tabId="3" name="PivotTable2"/>
    <pivotTable tabId="3" name="PivotTable3"/>
    <pivotTable tabId="3" name="PivotTable5"/>
  </pivotTables>
  <data>
    <tabular pivotCacheId="133380698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14FF12-7569-48AD-BB83-28D3339B8121}" sourceName="Region">
  <pivotTables>
    <pivotTable tabId="3" name="PivotTable1"/>
    <pivotTable tabId="3" name="PivotTable2"/>
    <pivotTable tabId="3" name="PivotTable3"/>
    <pivotTable tabId="3" name="PivotTable5"/>
  </pivotTables>
  <data>
    <tabular pivotCacheId="133380698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FAA9F2C-21C2-4959-BAB3-92E38EEB4438}" cache="Slicer_Marital_Status" caption="Marital Status" style="SlicerStyleDark1" rowHeight="234950"/>
  <slicer name="Education" xr10:uid="{DEDC1BBE-55AE-463C-9C23-CCC6CEF6E2F8}" cache="Slicer_Education" caption="Education" style="SlicerStyleDark6" rowHeight="234950"/>
  <slicer name="Region" xr10:uid="{C6D72CA7-F05C-4F8F-AA34-D12B9BC3E854}" cache="Slicer_Region" caption="Region" style="SlicerStyleDark2"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C65A9-9885-4C53-AD5B-325079E5AD31}">
  <dimension ref="A1:M1027"/>
  <sheetViews>
    <sheetView workbookViewId="0">
      <selection activeCell="A2" sqref="A2"/>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A2" sqref="A2"/>
    </sheetView>
  </sheetViews>
  <sheetFormatPr defaultColWidth="11.88671875" defaultRowHeight="14.4" x14ac:dyDescent="0.3"/>
  <cols>
    <col min="4" max="4" width="11.88671875" style="1"/>
    <col min="6" max="6" width="16.21875" bestFit="1" customWidth="1"/>
    <col min="13" max="13" width="13.5546875" bestFit="1" customWidth="1"/>
    <col min="14" max="14" width="15.44140625" customWidth="1"/>
  </cols>
  <sheetData>
    <row r="1" spans="1:14" x14ac:dyDescent="0.3">
      <c r="A1" t="s">
        <v>0</v>
      </c>
      <c r="B1" t="s">
        <v>1</v>
      </c>
      <c r="C1" t="s">
        <v>2</v>
      </c>
      <c r="D1" s="1" t="s">
        <v>3</v>
      </c>
      <c r="E1" t="s">
        <v>4</v>
      </c>
      <c r="F1" t="s">
        <v>5</v>
      </c>
      <c r="G1" t="s">
        <v>6</v>
      </c>
      <c r="H1" t="s">
        <v>7</v>
      </c>
      <c r="I1" t="s">
        <v>8</v>
      </c>
      <c r="J1" t="s">
        <v>9</v>
      </c>
      <c r="K1" t="s">
        <v>10</v>
      </c>
      <c r="L1" t="s">
        <v>11</v>
      </c>
      <c r="M1" t="s">
        <v>40</v>
      </c>
      <c r="N1" t="s">
        <v>12</v>
      </c>
    </row>
    <row r="2" spans="1:14" x14ac:dyDescent="0.3">
      <c r="A2">
        <v>12496</v>
      </c>
      <c r="B2" t="s">
        <v>36</v>
      </c>
      <c r="C2" t="s">
        <v>38</v>
      </c>
      <c r="D2" s="1">
        <v>40000</v>
      </c>
      <c r="E2">
        <v>1</v>
      </c>
      <c r="F2" t="s">
        <v>13</v>
      </c>
      <c r="G2" t="s">
        <v>14</v>
      </c>
      <c r="H2" t="s">
        <v>15</v>
      </c>
      <c r="I2">
        <v>0</v>
      </c>
      <c r="J2" t="s">
        <v>16</v>
      </c>
      <c r="K2" t="s">
        <v>17</v>
      </c>
      <c r="L2">
        <v>42</v>
      </c>
      <c r="M2" t="str">
        <f xml:space="preserve"> IF(L2&gt;55,"Old",IF(L2&gt;=31,"Middle Age",IF(L2&lt;31,"Adolescent","Invalid")))</f>
        <v>Middle Age</v>
      </c>
      <c r="N2" t="s">
        <v>18</v>
      </c>
    </row>
    <row r="3" spans="1:14" x14ac:dyDescent="0.3">
      <c r="A3">
        <v>24107</v>
      </c>
      <c r="B3" t="s">
        <v>36</v>
      </c>
      <c r="C3" t="s">
        <v>39</v>
      </c>
      <c r="D3" s="1">
        <v>30000</v>
      </c>
      <c r="E3">
        <v>3</v>
      </c>
      <c r="F3" t="s">
        <v>19</v>
      </c>
      <c r="G3" t="s">
        <v>20</v>
      </c>
      <c r="H3" t="s">
        <v>15</v>
      </c>
      <c r="I3">
        <v>1</v>
      </c>
      <c r="J3" t="s">
        <v>16</v>
      </c>
      <c r="K3" t="s">
        <v>17</v>
      </c>
      <c r="L3">
        <v>43</v>
      </c>
      <c r="M3" t="str">
        <f t="shared" ref="M3:M66" si="0" xml:space="preserve"> IF(L3&gt;55,"Old",IF(L3&gt;=31,"Middle Age",IF(L3&lt;31,"Adolescent","Invalid")))</f>
        <v>Middle Age</v>
      </c>
      <c r="N3" t="s">
        <v>18</v>
      </c>
    </row>
    <row r="4" spans="1:14" x14ac:dyDescent="0.3">
      <c r="A4">
        <v>14177</v>
      </c>
      <c r="B4" t="s">
        <v>36</v>
      </c>
      <c r="C4" t="s">
        <v>39</v>
      </c>
      <c r="D4" s="1">
        <v>80000</v>
      </c>
      <c r="E4">
        <v>5</v>
      </c>
      <c r="F4" t="s">
        <v>19</v>
      </c>
      <c r="G4" t="s">
        <v>21</v>
      </c>
      <c r="H4" t="s">
        <v>18</v>
      </c>
      <c r="I4">
        <v>2</v>
      </c>
      <c r="J4" t="s">
        <v>22</v>
      </c>
      <c r="K4" t="s">
        <v>17</v>
      </c>
      <c r="L4">
        <v>60</v>
      </c>
      <c r="M4" t="str">
        <f t="shared" si="0"/>
        <v>Old</v>
      </c>
      <c r="N4" t="s">
        <v>18</v>
      </c>
    </row>
    <row r="5" spans="1:14" x14ac:dyDescent="0.3">
      <c r="A5">
        <v>24381</v>
      </c>
      <c r="B5" t="s">
        <v>37</v>
      </c>
      <c r="C5" t="s">
        <v>39</v>
      </c>
      <c r="D5" s="1">
        <v>70000</v>
      </c>
      <c r="E5">
        <v>0</v>
      </c>
      <c r="F5" t="s">
        <v>13</v>
      </c>
      <c r="G5" t="s">
        <v>21</v>
      </c>
      <c r="H5" t="s">
        <v>15</v>
      </c>
      <c r="I5">
        <v>1</v>
      </c>
      <c r="J5" t="s">
        <v>23</v>
      </c>
      <c r="K5" t="s">
        <v>24</v>
      </c>
      <c r="L5">
        <v>41</v>
      </c>
      <c r="M5" t="str">
        <f t="shared" si="0"/>
        <v>Middle Age</v>
      </c>
      <c r="N5" t="s">
        <v>15</v>
      </c>
    </row>
    <row r="6" spans="1:14" x14ac:dyDescent="0.3">
      <c r="A6">
        <v>25597</v>
      </c>
      <c r="B6" t="s">
        <v>37</v>
      </c>
      <c r="C6" t="s">
        <v>39</v>
      </c>
      <c r="D6" s="1">
        <v>30000</v>
      </c>
      <c r="E6">
        <v>0</v>
      </c>
      <c r="F6" t="s">
        <v>13</v>
      </c>
      <c r="G6" t="s">
        <v>20</v>
      </c>
      <c r="H6" t="s">
        <v>18</v>
      </c>
      <c r="I6">
        <v>0</v>
      </c>
      <c r="J6" t="s">
        <v>16</v>
      </c>
      <c r="K6" t="s">
        <v>17</v>
      </c>
      <c r="L6">
        <v>36</v>
      </c>
      <c r="M6" t="str">
        <f t="shared" si="0"/>
        <v>Middle Age</v>
      </c>
      <c r="N6" t="s">
        <v>15</v>
      </c>
    </row>
    <row r="7" spans="1:14" x14ac:dyDescent="0.3">
      <c r="A7">
        <v>13507</v>
      </c>
      <c r="B7" t="s">
        <v>36</v>
      </c>
      <c r="C7" t="s">
        <v>38</v>
      </c>
      <c r="D7" s="1">
        <v>10000</v>
      </c>
      <c r="E7">
        <v>2</v>
      </c>
      <c r="F7" t="s">
        <v>19</v>
      </c>
      <c r="G7" t="s">
        <v>25</v>
      </c>
      <c r="H7" t="s">
        <v>15</v>
      </c>
      <c r="I7">
        <v>0</v>
      </c>
      <c r="J7" t="s">
        <v>26</v>
      </c>
      <c r="K7" t="s">
        <v>17</v>
      </c>
      <c r="L7">
        <v>50</v>
      </c>
      <c r="M7" t="str">
        <f t="shared" si="0"/>
        <v>Middle Age</v>
      </c>
      <c r="N7" t="s">
        <v>18</v>
      </c>
    </row>
    <row r="8" spans="1:14" x14ac:dyDescent="0.3">
      <c r="A8">
        <v>27974</v>
      </c>
      <c r="B8" t="s">
        <v>37</v>
      </c>
      <c r="C8" t="s">
        <v>39</v>
      </c>
      <c r="D8" s="1">
        <v>160000</v>
      </c>
      <c r="E8">
        <v>2</v>
      </c>
      <c r="F8" t="s">
        <v>27</v>
      </c>
      <c r="G8" t="s">
        <v>28</v>
      </c>
      <c r="H8" t="s">
        <v>15</v>
      </c>
      <c r="I8">
        <v>4</v>
      </c>
      <c r="J8" t="s">
        <v>16</v>
      </c>
      <c r="K8" t="s">
        <v>24</v>
      </c>
      <c r="L8">
        <v>33</v>
      </c>
      <c r="M8" t="str">
        <f t="shared" si="0"/>
        <v>Middle Age</v>
      </c>
      <c r="N8" t="s">
        <v>15</v>
      </c>
    </row>
    <row r="9" spans="1:14" x14ac:dyDescent="0.3">
      <c r="A9">
        <v>19364</v>
      </c>
      <c r="B9" t="s">
        <v>36</v>
      </c>
      <c r="C9" t="s">
        <v>39</v>
      </c>
      <c r="D9" s="1">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1">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1">
        <v>170000</v>
      </c>
      <c r="E14">
        <v>5</v>
      </c>
      <c r="F14" t="s">
        <v>19</v>
      </c>
      <c r="G14" t="s">
        <v>21</v>
      </c>
      <c r="H14" t="s">
        <v>15</v>
      </c>
      <c r="I14">
        <v>0</v>
      </c>
      <c r="J14" t="s">
        <v>16</v>
      </c>
      <c r="K14" t="s">
        <v>17</v>
      </c>
      <c r="L14">
        <v>55</v>
      </c>
      <c r="M14" t="str">
        <f t="shared" si="0"/>
        <v>Middle Age</v>
      </c>
      <c r="N14" t="s">
        <v>18</v>
      </c>
    </row>
    <row r="15" spans="1:14" x14ac:dyDescent="0.3">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1">
        <v>20000</v>
      </c>
      <c r="E21">
        <v>2</v>
      </c>
      <c r="F21" t="s">
        <v>29</v>
      </c>
      <c r="G21" t="s">
        <v>20</v>
      </c>
      <c r="H21" t="s">
        <v>15</v>
      </c>
      <c r="I21">
        <v>2</v>
      </c>
      <c r="J21" t="s">
        <v>23</v>
      </c>
      <c r="K21" t="s">
        <v>24</v>
      </c>
      <c r="L21">
        <v>55</v>
      </c>
      <c r="M21" t="str">
        <f t="shared" si="0"/>
        <v>Middle Age</v>
      </c>
      <c r="N21" t="s">
        <v>15</v>
      </c>
    </row>
    <row r="22" spans="1:14" x14ac:dyDescent="0.3">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1">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1">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1">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1">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1">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1">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1">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1">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1">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1">
        <v>30000</v>
      </c>
      <c r="E67">
        <v>2</v>
      </c>
      <c r="F67" t="s">
        <v>19</v>
      </c>
      <c r="G67" t="s">
        <v>20</v>
      </c>
      <c r="H67" t="s">
        <v>15</v>
      </c>
      <c r="I67">
        <v>2</v>
      </c>
      <c r="J67" t="s">
        <v>23</v>
      </c>
      <c r="K67" t="s">
        <v>24</v>
      </c>
      <c r="L67">
        <v>68</v>
      </c>
      <c r="M67" t="str">
        <f t="shared" ref="M67:M130" si="1" xml:space="preserve"> IF(L67&gt;55,"Old",IF(L67&gt;=31,"Middle Age",IF(L67&lt;31,"Adolescent","Invalid")))</f>
        <v>Old</v>
      </c>
      <c r="N67" t="s">
        <v>18</v>
      </c>
    </row>
    <row r="68" spans="1:14" x14ac:dyDescent="0.3">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1">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1">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1">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1">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1">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1">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1">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1">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1">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1">
        <v>30000</v>
      </c>
      <c r="E96">
        <v>3</v>
      </c>
      <c r="F96" t="s">
        <v>27</v>
      </c>
      <c r="G96" t="s">
        <v>14</v>
      </c>
      <c r="H96" t="s">
        <v>15</v>
      </c>
      <c r="I96">
        <v>2</v>
      </c>
      <c r="J96" t="s">
        <v>23</v>
      </c>
      <c r="K96" t="s">
        <v>24</v>
      </c>
      <c r="L96">
        <v>55</v>
      </c>
      <c r="M96" t="str">
        <f t="shared" si="1"/>
        <v>Middle Age</v>
      </c>
      <c r="N96" t="s">
        <v>18</v>
      </c>
    </row>
    <row r="97" spans="1:14" x14ac:dyDescent="0.3">
      <c r="A97">
        <v>17197</v>
      </c>
      <c r="B97" t="s">
        <v>37</v>
      </c>
      <c r="C97" t="s">
        <v>38</v>
      </c>
      <c r="D97" s="1">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1">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1">
        <v>10000</v>
      </c>
      <c r="E131">
        <v>3</v>
      </c>
      <c r="F131" t="s">
        <v>27</v>
      </c>
      <c r="G131" t="s">
        <v>25</v>
      </c>
      <c r="H131" t="s">
        <v>15</v>
      </c>
      <c r="I131">
        <v>1</v>
      </c>
      <c r="J131" t="s">
        <v>16</v>
      </c>
      <c r="K131" t="s">
        <v>17</v>
      </c>
      <c r="L131">
        <v>39</v>
      </c>
      <c r="M131" t="str">
        <f t="shared" ref="M131:M194" si="2" xml:space="preserve"> IF(L131&gt;55,"Old",IF(L131&gt;=31,"Middle Age",IF(L131&lt;31,"Adolescent","Invalid")))</f>
        <v>Middle Age</v>
      </c>
      <c r="N131" t="s">
        <v>15</v>
      </c>
    </row>
    <row r="132" spans="1:14" x14ac:dyDescent="0.3">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1">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38</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1">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1">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1">
        <v>160000</v>
      </c>
      <c r="E180">
        <v>4</v>
      </c>
      <c r="F180" t="s">
        <v>19</v>
      </c>
      <c r="G180" t="s">
        <v>21</v>
      </c>
      <c r="H180" t="s">
        <v>18</v>
      </c>
      <c r="I180">
        <v>2</v>
      </c>
      <c r="J180" t="s">
        <v>46</v>
      </c>
      <c r="K180" t="s">
        <v>17</v>
      </c>
      <c r="L180">
        <v>55</v>
      </c>
      <c r="M180" t="str">
        <f t="shared" si="2"/>
        <v>Middle Age</v>
      </c>
      <c r="N180" t="s">
        <v>15</v>
      </c>
    </row>
    <row r="181" spans="1:14" x14ac:dyDescent="0.3">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1">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1">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1">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1">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1">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1">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1">
        <v>70000</v>
      </c>
      <c r="E195">
        <v>5</v>
      </c>
      <c r="F195" t="s">
        <v>13</v>
      </c>
      <c r="G195" t="s">
        <v>21</v>
      </c>
      <c r="H195" t="s">
        <v>15</v>
      </c>
      <c r="I195">
        <v>4</v>
      </c>
      <c r="J195" t="s">
        <v>46</v>
      </c>
      <c r="K195" t="s">
        <v>24</v>
      </c>
      <c r="L195">
        <v>41</v>
      </c>
      <c r="M195" t="str">
        <f t="shared" ref="M195:M258" si="3" xml:space="preserve"> IF(L195&gt;55,"Old",IF(L195&gt;=31,"Middle Age",IF(L195&lt;31,"Adolescent","Invalid")))</f>
        <v>Middle Age</v>
      </c>
      <c r="N195" t="s">
        <v>18</v>
      </c>
    </row>
    <row r="196" spans="1:14" x14ac:dyDescent="0.3">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1">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1">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1">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1">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1">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1">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1">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1">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1">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1">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1">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1">
        <v>50000</v>
      </c>
      <c r="E259">
        <v>0</v>
      </c>
      <c r="F259" t="s">
        <v>31</v>
      </c>
      <c r="G259" t="s">
        <v>14</v>
      </c>
      <c r="H259" t="s">
        <v>15</v>
      </c>
      <c r="I259">
        <v>0</v>
      </c>
      <c r="J259" t="s">
        <v>16</v>
      </c>
      <c r="K259" t="s">
        <v>17</v>
      </c>
      <c r="L259">
        <v>36</v>
      </c>
      <c r="M259" t="str">
        <f t="shared" ref="M259:M322" si="4" xml:space="preserve"> IF(L259&gt;55,"Old",IF(L259&gt;=31,"Middle Age",IF(L259&lt;31,"Adolescent","Invalid")))</f>
        <v>Middle Age</v>
      </c>
      <c r="N259" t="s">
        <v>15</v>
      </c>
    </row>
    <row r="260" spans="1:14" x14ac:dyDescent="0.3">
      <c r="A260">
        <v>14193</v>
      </c>
      <c r="B260" t="s">
        <v>37</v>
      </c>
      <c r="C260" t="s">
        <v>38</v>
      </c>
      <c r="D260" s="1">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1">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1">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1">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1">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1">
        <v>160000</v>
      </c>
      <c r="E323">
        <v>0</v>
      </c>
      <c r="F323" t="s">
        <v>31</v>
      </c>
      <c r="G323" t="s">
        <v>28</v>
      </c>
      <c r="H323" t="s">
        <v>18</v>
      </c>
      <c r="I323">
        <v>3</v>
      </c>
      <c r="J323" t="s">
        <v>16</v>
      </c>
      <c r="K323" t="s">
        <v>24</v>
      </c>
      <c r="L323">
        <v>47</v>
      </c>
      <c r="M323" t="str">
        <f t="shared" ref="M323:M386" si="5" xml:space="preserve"> IF(L323&gt;55,"Old",IF(L323&gt;=31,"Middle Age",IF(L323&lt;31,"Adolescent","Invalid")))</f>
        <v>Middle Age</v>
      </c>
      <c r="N323" t="s">
        <v>15</v>
      </c>
    </row>
    <row r="324" spans="1:14" x14ac:dyDescent="0.3">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1">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1">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1">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1">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1">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1">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1">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1">
        <v>30000</v>
      </c>
      <c r="E387">
        <v>3</v>
      </c>
      <c r="F387" t="s">
        <v>19</v>
      </c>
      <c r="G387" t="s">
        <v>20</v>
      </c>
      <c r="H387" t="s">
        <v>15</v>
      </c>
      <c r="I387">
        <v>0</v>
      </c>
      <c r="J387" t="s">
        <v>16</v>
      </c>
      <c r="K387" t="s">
        <v>17</v>
      </c>
      <c r="L387">
        <v>43</v>
      </c>
      <c r="M387" t="str">
        <f t="shared" ref="M387:M450" si="6" xml:space="preserve"> IF(L387&gt;55,"Old",IF(L387&gt;=31,"Middle Age",IF(L387&lt;31,"Adolescent","Invalid")))</f>
        <v>Middle Age</v>
      </c>
      <c r="N387" t="s">
        <v>18</v>
      </c>
    </row>
    <row r="388" spans="1:14" x14ac:dyDescent="0.3">
      <c r="A388">
        <v>28957</v>
      </c>
      <c r="B388" t="s">
        <v>37</v>
      </c>
      <c r="C388" t="s">
        <v>38</v>
      </c>
      <c r="D388" s="1">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1">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1">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1">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1">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39</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1">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1">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1">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1">
        <v>40000</v>
      </c>
      <c r="E451">
        <v>1</v>
      </c>
      <c r="F451" t="s">
        <v>13</v>
      </c>
      <c r="G451" t="s">
        <v>14</v>
      </c>
      <c r="H451" t="s">
        <v>15</v>
      </c>
      <c r="I451">
        <v>0</v>
      </c>
      <c r="J451" t="s">
        <v>16</v>
      </c>
      <c r="K451" t="s">
        <v>17</v>
      </c>
      <c r="L451">
        <v>42</v>
      </c>
      <c r="M451" t="str">
        <f t="shared" ref="M451:M514" si="7" xml:space="preserve"> IF(L451&gt;55,"Old",IF(L451&gt;=31,"Middle Age",IF(L451&lt;31,"Adolescent","Invalid")))</f>
        <v>Middle Age</v>
      </c>
      <c r="N451" t="s">
        <v>18</v>
      </c>
    </row>
    <row r="452" spans="1:14" x14ac:dyDescent="0.3">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1">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1">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1">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1">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1">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1">
        <v>60000</v>
      </c>
      <c r="E515">
        <v>4</v>
      </c>
      <c r="F515" t="s">
        <v>31</v>
      </c>
      <c r="G515" t="s">
        <v>28</v>
      </c>
      <c r="H515" t="s">
        <v>15</v>
      </c>
      <c r="I515">
        <v>2</v>
      </c>
      <c r="J515" t="s">
        <v>46</v>
      </c>
      <c r="K515" t="s">
        <v>32</v>
      </c>
      <c r="L515">
        <v>61</v>
      </c>
      <c r="M515" t="str">
        <f t="shared" ref="M515:M578" si="8" xml:space="preserve"> IF(L515&gt;55,"Old",IF(L515&gt;=31,"Middle Age",IF(L515&lt;31,"Adolescent","Invalid")))</f>
        <v>Old</v>
      </c>
      <c r="N515" t="s">
        <v>15</v>
      </c>
    </row>
    <row r="516" spans="1:14" x14ac:dyDescent="0.3">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1">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1">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1">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1">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1">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1">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1">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1">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1">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1">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1">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1">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39</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1">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1">
        <v>120000</v>
      </c>
      <c r="E579">
        <v>1</v>
      </c>
      <c r="F579" t="s">
        <v>13</v>
      </c>
      <c r="G579" t="s">
        <v>28</v>
      </c>
      <c r="H579" t="s">
        <v>15</v>
      </c>
      <c r="I579">
        <v>4</v>
      </c>
      <c r="J579" t="s">
        <v>16</v>
      </c>
      <c r="K579" t="s">
        <v>32</v>
      </c>
      <c r="L579">
        <v>38</v>
      </c>
      <c r="M579" t="str">
        <f t="shared" ref="M579:M642" si="9" xml:space="preserve"> IF(L579&gt;55,"Old",IF(L579&gt;=31,"Middle Age",IF(L579&lt;31,"Adolescent","Invalid")))</f>
        <v>Middle Age</v>
      </c>
      <c r="N579" t="s">
        <v>18</v>
      </c>
    </row>
    <row r="580" spans="1:14" x14ac:dyDescent="0.3">
      <c r="A580">
        <v>15313</v>
      </c>
      <c r="B580" t="s">
        <v>36</v>
      </c>
      <c r="C580" t="s">
        <v>39</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1">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1">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1">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1">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1">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1">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1">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38</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1">
        <v>50000</v>
      </c>
      <c r="E643">
        <v>4</v>
      </c>
      <c r="F643" t="s">
        <v>13</v>
      </c>
      <c r="G643" t="s">
        <v>28</v>
      </c>
      <c r="H643" t="s">
        <v>15</v>
      </c>
      <c r="I643">
        <v>2</v>
      </c>
      <c r="J643" t="s">
        <v>46</v>
      </c>
      <c r="K643" t="s">
        <v>32</v>
      </c>
      <c r="L643">
        <v>64</v>
      </c>
      <c r="M643" t="str">
        <f t="shared" ref="M643:M706" si="10" xml:space="preserve"> IF(L643&gt;55,"Old",IF(L643&gt;=31,"Middle Age",IF(L643&lt;31,"Adolescent","Invalid")))</f>
        <v>Old</v>
      </c>
      <c r="N643" t="s">
        <v>18</v>
      </c>
    </row>
    <row r="644" spans="1:14" x14ac:dyDescent="0.3">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1">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1">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1">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1">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1">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1">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1">
        <v>70000</v>
      </c>
      <c r="E707">
        <v>4</v>
      </c>
      <c r="F707" t="s">
        <v>13</v>
      </c>
      <c r="G707" t="s">
        <v>28</v>
      </c>
      <c r="H707" t="s">
        <v>15</v>
      </c>
      <c r="I707">
        <v>1</v>
      </c>
      <c r="J707" t="s">
        <v>46</v>
      </c>
      <c r="K707" t="s">
        <v>32</v>
      </c>
      <c r="L707">
        <v>59</v>
      </c>
      <c r="M707" t="str">
        <f t="shared" ref="M707:M770" si="11" xml:space="preserve"> IF(L707&gt;55,"Old",IF(L707&gt;=31,"Middle Age",IF(L707&lt;31,"Adolescent","Invalid")))</f>
        <v>Old</v>
      </c>
      <c r="N707" t="s">
        <v>18</v>
      </c>
    </row>
    <row r="708" spans="1:14" x14ac:dyDescent="0.3">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1">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1">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1">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1">
        <v>60000</v>
      </c>
      <c r="E741">
        <v>2</v>
      </c>
      <c r="F741" t="s">
        <v>19</v>
      </c>
      <c r="G741" t="s">
        <v>21</v>
      </c>
      <c r="H741" t="s">
        <v>15</v>
      </c>
      <c r="I741">
        <v>1</v>
      </c>
      <c r="J741" t="s">
        <v>46</v>
      </c>
      <c r="K741" t="s">
        <v>32</v>
      </c>
      <c r="L741">
        <v>55</v>
      </c>
      <c r="M741" t="str">
        <f t="shared" si="11"/>
        <v>Middle Age</v>
      </c>
      <c r="N741" t="s">
        <v>18</v>
      </c>
    </row>
    <row r="742" spans="1:14" x14ac:dyDescent="0.3">
      <c r="A742">
        <v>17657</v>
      </c>
      <c r="B742" t="s">
        <v>36</v>
      </c>
      <c r="C742" t="s">
        <v>39</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1">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1">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1">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1">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1">
        <v>100000</v>
      </c>
      <c r="E771">
        <v>4</v>
      </c>
      <c r="F771" t="s">
        <v>13</v>
      </c>
      <c r="G771" t="s">
        <v>28</v>
      </c>
      <c r="H771" t="s">
        <v>15</v>
      </c>
      <c r="I771">
        <v>4</v>
      </c>
      <c r="J771" t="s">
        <v>16</v>
      </c>
      <c r="K771" t="s">
        <v>32</v>
      </c>
      <c r="L771">
        <v>40</v>
      </c>
      <c r="M771" t="str">
        <f t="shared" ref="M771:M834" si="12" xml:space="preserve"> IF(L771&gt;55,"Old",IF(L771&gt;=31,"Middle Age",IF(L771&lt;31,"Adolescent","Invalid")))</f>
        <v>Middle Age</v>
      </c>
      <c r="N771" t="s">
        <v>18</v>
      </c>
    </row>
    <row r="772" spans="1:14" x14ac:dyDescent="0.3">
      <c r="A772">
        <v>17699</v>
      </c>
      <c r="B772" t="s">
        <v>36</v>
      </c>
      <c r="C772" t="s">
        <v>39</v>
      </c>
      <c r="D772" s="1">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1">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1">
        <v>60000</v>
      </c>
      <c r="E782">
        <v>2</v>
      </c>
      <c r="F782" t="s">
        <v>19</v>
      </c>
      <c r="G782" t="s">
        <v>21</v>
      </c>
      <c r="H782" t="s">
        <v>15</v>
      </c>
      <c r="I782">
        <v>1</v>
      </c>
      <c r="J782" t="s">
        <v>46</v>
      </c>
      <c r="K782" t="s">
        <v>32</v>
      </c>
      <c r="L782">
        <v>55</v>
      </c>
      <c r="M782" t="str">
        <f t="shared" si="12"/>
        <v>Middle Age</v>
      </c>
      <c r="N782" t="s">
        <v>18</v>
      </c>
    </row>
    <row r="783" spans="1:14" x14ac:dyDescent="0.3">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1">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1">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1">
        <v>70000</v>
      </c>
      <c r="E835">
        <v>0</v>
      </c>
      <c r="F835" t="s">
        <v>13</v>
      </c>
      <c r="G835" t="s">
        <v>21</v>
      </c>
      <c r="H835" t="s">
        <v>18</v>
      </c>
      <c r="I835">
        <v>1</v>
      </c>
      <c r="J835" t="s">
        <v>16</v>
      </c>
      <c r="K835" t="s">
        <v>32</v>
      </c>
      <c r="L835">
        <v>37</v>
      </c>
      <c r="M835" t="str">
        <f t="shared" ref="M835:M898" si="13" xml:space="preserve"> IF(L835&gt;55,"Old",IF(L835&gt;=31,"Middle Age",IF(L835&lt;31,"Adolescent","Invalid")))</f>
        <v>Middle Age</v>
      </c>
      <c r="N835" t="s">
        <v>15</v>
      </c>
    </row>
    <row r="836" spans="1:14" x14ac:dyDescent="0.3">
      <c r="A836">
        <v>19889</v>
      </c>
      <c r="B836" t="s">
        <v>37</v>
      </c>
      <c r="C836" t="s">
        <v>38</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1">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1">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1">
        <v>60000</v>
      </c>
      <c r="E868">
        <v>2</v>
      </c>
      <c r="F868" t="s">
        <v>27</v>
      </c>
      <c r="G868" t="s">
        <v>21</v>
      </c>
      <c r="H868" t="s">
        <v>15</v>
      </c>
      <c r="I868">
        <v>2</v>
      </c>
      <c r="J868" t="s">
        <v>46</v>
      </c>
      <c r="K868" t="s">
        <v>32</v>
      </c>
      <c r="L868">
        <v>55</v>
      </c>
      <c r="M868" t="str">
        <f t="shared" si="13"/>
        <v>Middle Age</v>
      </c>
      <c r="N868" t="s">
        <v>18</v>
      </c>
    </row>
    <row r="869" spans="1:14" x14ac:dyDescent="0.3">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1">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1">
        <v>60000</v>
      </c>
      <c r="E873">
        <v>2</v>
      </c>
      <c r="F873" t="s">
        <v>27</v>
      </c>
      <c r="G873" t="s">
        <v>21</v>
      </c>
      <c r="H873" t="s">
        <v>15</v>
      </c>
      <c r="I873">
        <v>2</v>
      </c>
      <c r="J873" t="s">
        <v>46</v>
      </c>
      <c r="K873" t="s">
        <v>32</v>
      </c>
      <c r="L873">
        <v>55</v>
      </c>
      <c r="M873" t="str">
        <f t="shared" si="13"/>
        <v>Middle Age</v>
      </c>
      <c r="N873" t="s">
        <v>18</v>
      </c>
    </row>
    <row r="874" spans="1:14" x14ac:dyDescent="0.3">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1">
        <v>30000</v>
      </c>
      <c r="E899">
        <v>0</v>
      </c>
      <c r="F899" t="s">
        <v>29</v>
      </c>
      <c r="G899" t="s">
        <v>20</v>
      </c>
      <c r="H899" t="s">
        <v>18</v>
      </c>
      <c r="I899">
        <v>2</v>
      </c>
      <c r="J899" t="s">
        <v>16</v>
      </c>
      <c r="K899" t="s">
        <v>32</v>
      </c>
      <c r="L899">
        <v>28</v>
      </c>
      <c r="M899" t="str">
        <f t="shared" ref="M899:M962" si="14" xml:space="preserve"> IF(L899&gt;55,"Old",IF(L899&gt;=31,"Middle Age",IF(L899&lt;31,"Adolescent","Invalid")))</f>
        <v>Adolescent</v>
      </c>
      <c r="N899" t="s">
        <v>18</v>
      </c>
    </row>
    <row r="900" spans="1:14" x14ac:dyDescent="0.3">
      <c r="A900">
        <v>18066</v>
      </c>
      <c r="B900" t="s">
        <v>37</v>
      </c>
      <c r="C900" t="s">
        <v>39</v>
      </c>
      <c r="D900" s="1">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1">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1">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1">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1">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1">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1">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1">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1">
        <v>120000</v>
      </c>
      <c r="E963">
        <v>2</v>
      </c>
      <c r="F963" t="s">
        <v>13</v>
      </c>
      <c r="G963" t="s">
        <v>28</v>
      </c>
      <c r="H963" t="s">
        <v>15</v>
      </c>
      <c r="I963">
        <v>3</v>
      </c>
      <c r="J963" t="s">
        <v>23</v>
      </c>
      <c r="K963" t="s">
        <v>32</v>
      </c>
      <c r="L963">
        <v>62</v>
      </c>
      <c r="M963" t="str">
        <f t="shared" ref="M963:M1001" si="15" xml:space="preserve"> IF(L963&gt;55,"Old",IF(L963&gt;=31,"Middle Age",IF(L963&lt;31,"Adolescent","Invalid")))</f>
        <v>Old</v>
      </c>
      <c r="N963" t="s">
        <v>18</v>
      </c>
    </row>
    <row r="964" spans="1:14" x14ac:dyDescent="0.3">
      <c r="A964">
        <v>16813</v>
      </c>
      <c r="B964" t="s">
        <v>36</v>
      </c>
      <c r="C964" t="s">
        <v>39</v>
      </c>
      <c r="D964" s="1">
        <v>60000</v>
      </c>
      <c r="E964">
        <v>2</v>
      </c>
      <c r="F964" t="s">
        <v>19</v>
      </c>
      <c r="G964" t="s">
        <v>21</v>
      </c>
      <c r="H964" t="s">
        <v>15</v>
      </c>
      <c r="I964">
        <v>2</v>
      </c>
      <c r="J964" t="s">
        <v>46</v>
      </c>
      <c r="K964" t="s">
        <v>32</v>
      </c>
      <c r="L964">
        <v>55</v>
      </c>
      <c r="M964" t="str">
        <f t="shared" si="15"/>
        <v>Middle Age</v>
      </c>
      <c r="N964" t="s">
        <v>18</v>
      </c>
    </row>
    <row r="965" spans="1:14" x14ac:dyDescent="0.3">
      <c r="A965">
        <v>16007</v>
      </c>
      <c r="B965" t="s">
        <v>36</v>
      </c>
      <c r="C965" t="s">
        <v>38</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1">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1">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1">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1">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1">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1">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1">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1">
        <v>60000</v>
      </c>
      <c r="E1001">
        <v>3</v>
      </c>
      <c r="F1001" t="s">
        <v>27</v>
      </c>
      <c r="G1001" t="s">
        <v>21</v>
      </c>
      <c r="H1001" t="s">
        <v>15</v>
      </c>
      <c r="I1001">
        <v>2</v>
      </c>
      <c r="J1001" t="s">
        <v>46</v>
      </c>
      <c r="K1001" t="s">
        <v>32</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AD8C7-325F-4E51-AB73-336167C83DBC}">
  <dimension ref="A1:D113"/>
  <sheetViews>
    <sheetView workbookViewId="0">
      <selection activeCell="D58" sqref="D58"/>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10" width="10.109375" bestFit="1" customWidth="1"/>
    <col min="11" max="17" width="11.109375" bestFit="1" customWidth="1"/>
    <col min="18" max="18" width="10.77734375" bestFit="1" customWidth="1"/>
  </cols>
  <sheetData>
    <row r="1" spans="1:4" x14ac:dyDescent="0.3">
      <c r="A1" s="3" t="s">
        <v>43</v>
      </c>
      <c r="B1" s="3" t="s">
        <v>44</v>
      </c>
    </row>
    <row r="2" spans="1:4" x14ac:dyDescent="0.3">
      <c r="A2" s="3" t="s">
        <v>41</v>
      </c>
      <c r="B2" t="s">
        <v>18</v>
      </c>
      <c r="C2" t="s">
        <v>15</v>
      </c>
      <c r="D2" t="s">
        <v>42</v>
      </c>
    </row>
    <row r="3" spans="1:4" x14ac:dyDescent="0.3">
      <c r="A3" s="4" t="s">
        <v>38</v>
      </c>
      <c r="B3" s="1">
        <v>53440</v>
      </c>
      <c r="C3" s="1">
        <v>55774.058577405856</v>
      </c>
      <c r="D3" s="1">
        <v>54580.777096114522</v>
      </c>
    </row>
    <row r="4" spans="1:4" x14ac:dyDescent="0.3">
      <c r="A4" s="4" t="s">
        <v>39</v>
      </c>
      <c r="B4" s="1">
        <v>56208.178438661707</v>
      </c>
      <c r="C4" s="1">
        <v>60123.966942148763</v>
      </c>
      <c r="D4" s="1">
        <v>58062.62230919765</v>
      </c>
    </row>
    <row r="5" spans="1:4" x14ac:dyDescent="0.3">
      <c r="A5" s="4" t="s">
        <v>42</v>
      </c>
      <c r="B5" s="1">
        <v>54874.759152215796</v>
      </c>
      <c r="C5" s="1">
        <v>57962.577962577961</v>
      </c>
      <c r="D5" s="1">
        <v>56360</v>
      </c>
    </row>
    <row r="24" spans="1:4" x14ac:dyDescent="0.3">
      <c r="A24" s="3" t="s">
        <v>45</v>
      </c>
      <c r="B24" s="3" t="s">
        <v>44</v>
      </c>
    </row>
    <row r="25" spans="1:4" x14ac:dyDescent="0.3">
      <c r="A25" s="3" t="s">
        <v>41</v>
      </c>
      <c r="B25" t="s">
        <v>18</v>
      </c>
      <c r="C25" t="s">
        <v>15</v>
      </c>
      <c r="D25" t="s">
        <v>42</v>
      </c>
    </row>
    <row r="26" spans="1:4" x14ac:dyDescent="0.3">
      <c r="A26" s="4" t="s">
        <v>16</v>
      </c>
      <c r="B26" s="6">
        <v>166</v>
      </c>
      <c r="C26" s="6">
        <v>200</v>
      </c>
      <c r="D26" s="6">
        <v>366</v>
      </c>
    </row>
    <row r="27" spans="1:4" x14ac:dyDescent="0.3">
      <c r="A27" s="4" t="s">
        <v>26</v>
      </c>
      <c r="B27" s="6">
        <v>92</v>
      </c>
      <c r="C27" s="6">
        <v>77</v>
      </c>
      <c r="D27" s="6">
        <v>169</v>
      </c>
    </row>
    <row r="28" spans="1:4" x14ac:dyDescent="0.3">
      <c r="A28" s="4" t="s">
        <v>22</v>
      </c>
      <c r="B28" s="6">
        <v>67</v>
      </c>
      <c r="C28" s="6">
        <v>95</v>
      </c>
      <c r="D28" s="6">
        <v>162</v>
      </c>
    </row>
    <row r="29" spans="1:4" x14ac:dyDescent="0.3">
      <c r="A29" s="4" t="s">
        <v>23</v>
      </c>
      <c r="B29" s="6">
        <v>116</v>
      </c>
      <c r="C29" s="6">
        <v>76</v>
      </c>
      <c r="D29" s="6">
        <v>192</v>
      </c>
    </row>
    <row r="30" spans="1:4" x14ac:dyDescent="0.3">
      <c r="A30" s="4" t="s">
        <v>46</v>
      </c>
      <c r="B30" s="6">
        <v>78</v>
      </c>
      <c r="C30" s="6">
        <v>33</v>
      </c>
      <c r="D30" s="6">
        <v>111</v>
      </c>
    </row>
    <row r="31" spans="1:4" x14ac:dyDescent="0.3">
      <c r="A31" s="4" t="s">
        <v>42</v>
      </c>
      <c r="B31" s="6">
        <v>519</v>
      </c>
      <c r="C31" s="6">
        <v>481</v>
      </c>
      <c r="D31" s="6">
        <v>1000</v>
      </c>
    </row>
    <row r="41" spans="1:4" x14ac:dyDescent="0.3">
      <c r="A41" s="3" t="s">
        <v>45</v>
      </c>
      <c r="B41" s="3" t="s">
        <v>44</v>
      </c>
    </row>
    <row r="42" spans="1:4" x14ac:dyDescent="0.3">
      <c r="A42" s="3" t="s">
        <v>41</v>
      </c>
      <c r="B42" t="s">
        <v>18</v>
      </c>
      <c r="C42" t="s">
        <v>15</v>
      </c>
      <c r="D42" t="s">
        <v>42</v>
      </c>
    </row>
    <row r="43" spans="1:4" x14ac:dyDescent="0.3">
      <c r="A43" s="4" t="s">
        <v>47</v>
      </c>
      <c r="B43" s="6">
        <v>71</v>
      </c>
      <c r="C43" s="6">
        <v>39</v>
      </c>
      <c r="D43" s="6">
        <v>110</v>
      </c>
    </row>
    <row r="44" spans="1:4" x14ac:dyDescent="0.3">
      <c r="A44" s="4" t="s">
        <v>48</v>
      </c>
      <c r="B44" s="6">
        <v>331</v>
      </c>
      <c r="C44" s="6">
        <v>388</v>
      </c>
      <c r="D44" s="6">
        <v>719</v>
      </c>
    </row>
    <row r="45" spans="1:4" x14ac:dyDescent="0.3">
      <c r="A45" s="4" t="s">
        <v>49</v>
      </c>
      <c r="B45" s="6">
        <v>117</v>
      </c>
      <c r="C45" s="6">
        <v>54</v>
      </c>
      <c r="D45" s="6">
        <v>171</v>
      </c>
    </row>
    <row r="46" spans="1:4" x14ac:dyDescent="0.3">
      <c r="A46" s="4" t="s">
        <v>42</v>
      </c>
      <c r="B46" s="6">
        <v>519</v>
      </c>
      <c r="C46" s="6">
        <v>481</v>
      </c>
      <c r="D46" s="6">
        <v>1000</v>
      </c>
    </row>
    <row r="58" spans="1:4" x14ac:dyDescent="0.3">
      <c r="A58" s="3" t="s">
        <v>45</v>
      </c>
      <c r="B58" s="3" t="s">
        <v>44</v>
      </c>
    </row>
    <row r="59" spans="1:4" x14ac:dyDescent="0.3">
      <c r="A59" s="3" t="s">
        <v>41</v>
      </c>
      <c r="B59" t="s">
        <v>18</v>
      </c>
      <c r="C59" t="s">
        <v>15</v>
      </c>
      <c r="D59" t="s">
        <v>42</v>
      </c>
    </row>
    <row r="60" spans="1:4" x14ac:dyDescent="0.3">
      <c r="A60" s="4">
        <v>25</v>
      </c>
      <c r="B60" s="6">
        <v>2</v>
      </c>
      <c r="C60" s="6">
        <v>4</v>
      </c>
      <c r="D60" s="6">
        <v>6</v>
      </c>
    </row>
    <row r="61" spans="1:4" x14ac:dyDescent="0.3">
      <c r="A61" s="4">
        <v>26</v>
      </c>
      <c r="B61" s="6">
        <v>8</v>
      </c>
      <c r="C61" s="6">
        <v>8</v>
      </c>
      <c r="D61" s="6">
        <v>16</v>
      </c>
    </row>
    <row r="62" spans="1:4" x14ac:dyDescent="0.3">
      <c r="A62" s="4">
        <v>27</v>
      </c>
      <c r="B62" s="6">
        <v>15</v>
      </c>
      <c r="C62" s="6">
        <v>8</v>
      </c>
      <c r="D62" s="6">
        <v>23</v>
      </c>
    </row>
    <row r="63" spans="1:4" x14ac:dyDescent="0.3">
      <c r="A63" s="4">
        <v>28</v>
      </c>
      <c r="B63" s="6">
        <v>12</v>
      </c>
      <c r="C63" s="6">
        <v>10</v>
      </c>
      <c r="D63" s="6">
        <v>22</v>
      </c>
    </row>
    <row r="64" spans="1:4" x14ac:dyDescent="0.3">
      <c r="A64" s="4">
        <v>29</v>
      </c>
      <c r="B64" s="6">
        <v>11</v>
      </c>
      <c r="C64" s="6">
        <v>5</v>
      </c>
      <c r="D64" s="6">
        <v>16</v>
      </c>
    </row>
    <row r="65" spans="1:4" x14ac:dyDescent="0.3">
      <c r="A65" s="4">
        <v>30</v>
      </c>
      <c r="B65" s="6">
        <v>23</v>
      </c>
      <c r="C65" s="6">
        <v>4</v>
      </c>
      <c r="D65" s="6">
        <v>27</v>
      </c>
    </row>
    <row r="66" spans="1:4" x14ac:dyDescent="0.3">
      <c r="A66" s="4">
        <v>31</v>
      </c>
      <c r="B66" s="6">
        <v>17</v>
      </c>
      <c r="C66" s="6">
        <v>8</v>
      </c>
      <c r="D66" s="6">
        <v>25</v>
      </c>
    </row>
    <row r="67" spans="1:4" x14ac:dyDescent="0.3">
      <c r="A67" s="4">
        <v>32</v>
      </c>
      <c r="B67" s="6">
        <v>19</v>
      </c>
      <c r="C67" s="6">
        <v>14</v>
      </c>
      <c r="D67" s="6">
        <v>33</v>
      </c>
    </row>
    <row r="68" spans="1:4" x14ac:dyDescent="0.3">
      <c r="A68" s="4">
        <v>33</v>
      </c>
      <c r="B68" s="6">
        <v>8</v>
      </c>
      <c r="C68" s="6">
        <v>13</v>
      </c>
      <c r="D68" s="6">
        <v>21</v>
      </c>
    </row>
    <row r="69" spans="1:4" x14ac:dyDescent="0.3">
      <c r="A69" s="4">
        <v>34</v>
      </c>
      <c r="B69" s="6">
        <v>12</v>
      </c>
      <c r="C69" s="6">
        <v>19</v>
      </c>
      <c r="D69" s="6">
        <v>31</v>
      </c>
    </row>
    <row r="70" spans="1:4" x14ac:dyDescent="0.3">
      <c r="A70" s="4">
        <v>35</v>
      </c>
      <c r="B70" s="6">
        <v>14</v>
      </c>
      <c r="C70" s="6">
        <v>22</v>
      </c>
      <c r="D70" s="6">
        <v>36</v>
      </c>
    </row>
    <row r="71" spans="1:4" x14ac:dyDescent="0.3">
      <c r="A71" s="4">
        <v>36</v>
      </c>
      <c r="B71" s="6">
        <v>7</v>
      </c>
      <c r="C71" s="6">
        <v>30</v>
      </c>
      <c r="D71" s="6">
        <v>37</v>
      </c>
    </row>
    <row r="72" spans="1:4" x14ac:dyDescent="0.3">
      <c r="A72" s="4">
        <v>37</v>
      </c>
      <c r="B72" s="6">
        <v>4</v>
      </c>
      <c r="C72" s="6">
        <v>28</v>
      </c>
      <c r="D72" s="6">
        <v>32</v>
      </c>
    </row>
    <row r="73" spans="1:4" x14ac:dyDescent="0.3">
      <c r="A73" s="4">
        <v>38</v>
      </c>
      <c r="B73" s="6">
        <v>8</v>
      </c>
      <c r="C73" s="6">
        <v>29</v>
      </c>
      <c r="D73" s="6">
        <v>37</v>
      </c>
    </row>
    <row r="74" spans="1:4" x14ac:dyDescent="0.3">
      <c r="A74" s="4">
        <v>39</v>
      </c>
      <c r="B74" s="6">
        <v>10</v>
      </c>
      <c r="C74" s="6">
        <v>12</v>
      </c>
      <c r="D74" s="6">
        <v>22</v>
      </c>
    </row>
    <row r="75" spans="1:4" x14ac:dyDescent="0.3">
      <c r="A75" s="4">
        <v>40</v>
      </c>
      <c r="B75" s="6">
        <v>24</v>
      </c>
      <c r="C75" s="6">
        <v>18</v>
      </c>
      <c r="D75" s="6">
        <v>42</v>
      </c>
    </row>
    <row r="76" spans="1:4" x14ac:dyDescent="0.3">
      <c r="A76" s="4">
        <v>41</v>
      </c>
      <c r="B76" s="6">
        <v>13</v>
      </c>
      <c r="C76" s="6">
        <v>15</v>
      </c>
      <c r="D76" s="6">
        <v>28</v>
      </c>
    </row>
    <row r="77" spans="1:4" x14ac:dyDescent="0.3">
      <c r="A77" s="4">
        <v>42</v>
      </c>
      <c r="B77" s="6">
        <v>22</v>
      </c>
      <c r="C77" s="6">
        <v>12</v>
      </c>
      <c r="D77" s="6">
        <v>34</v>
      </c>
    </row>
    <row r="78" spans="1:4" x14ac:dyDescent="0.3">
      <c r="A78" s="4">
        <v>43</v>
      </c>
      <c r="B78" s="6">
        <v>17</v>
      </c>
      <c r="C78" s="6">
        <v>19</v>
      </c>
      <c r="D78" s="6">
        <v>36</v>
      </c>
    </row>
    <row r="79" spans="1:4" x14ac:dyDescent="0.3">
      <c r="A79" s="4">
        <v>44</v>
      </c>
      <c r="B79" s="6">
        <v>15</v>
      </c>
      <c r="C79" s="6">
        <v>12</v>
      </c>
      <c r="D79" s="6">
        <v>27</v>
      </c>
    </row>
    <row r="80" spans="1:4" x14ac:dyDescent="0.3">
      <c r="A80" s="4">
        <v>45</v>
      </c>
      <c r="B80" s="6">
        <v>18</v>
      </c>
      <c r="C80" s="6">
        <v>13</v>
      </c>
      <c r="D80" s="6">
        <v>31</v>
      </c>
    </row>
    <row r="81" spans="1:4" x14ac:dyDescent="0.3">
      <c r="A81" s="4">
        <v>46</v>
      </c>
      <c r="B81" s="6">
        <v>12</v>
      </c>
      <c r="C81" s="6">
        <v>15</v>
      </c>
      <c r="D81" s="6">
        <v>27</v>
      </c>
    </row>
    <row r="82" spans="1:4" x14ac:dyDescent="0.3">
      <c r="A82" s="4">
        <v>47</v>
      </c>
      <c r="B82" s="6">
        <v>19</v>
      </c>
      <c r="C82" s="6">
        <v>20</v>
      </c>
      <c r="D82" s="6">
        <v>39</v>
      </c>
    </row>
    <row r="83" spans="1:4" x14ac:dyDescent="0.3">
      <c r="A83" s="4">
        <v>48</v>
      </c>
      <c r="B83" s="6">
        <v>16</v>
      </c>
      <c r="C83" s="6">
        <v>13</v>
      </c>
      <c r="D83" s="6">
        <v>29</v>
      </c>
    </row>
    <row r="84" spans="1:4" x14ac:dyDescent="0.3">
      <c r="A84" s="4">
        <v>49</v>
      </c>
      <c r="B84" s="6">
        <v>15</v>
      </c>
      <c r="C84" s="6">
        <v>8</v>
      </c>
      <c r="D84" s="6">
        <v>23</v>
      </c>
    </row>
    <row r="85" spans="1:4" x14ac:dyDescent="0.3">
      <c r="A85" s="4">
        <v>50</v>
      </c>
      <c r="B85" s="6">
        <v>12</v>
      </c>
      <c r="C85" s="6">
        <v>12</v>
      </c>
      <c r="D85" s="6">
        <v>24</v>
      </c>
    </row>
    <row r="86" spans="1:4" x14ac:dyDescent="0.3">
      <c r="A86" s="4">
        <v>51</v>
      </c>
      <c r="B86" s="6">
        <v>10</v>
      </c>
      <c r="C86" s="6">
        <v>12</v>
      </c>
      <c r="D86" s="6">
        <v>22</v>
      </c>
    </row>
    <row r="87" spans="1:4" x14ac:dyDescent="0.3">
      <c r="A87" s="4">
        <v>52</v>
      </c>
      <c r="B87" s="6">
        <v>10</v>
      </c>
      <c r="C87" s="6">
        <v>15</v>
      </c>
      <c r="D87" s="6">
        <v>25</v>
      </c>
    </row>
    <row r="88" spans="1:4" x14ac:dyDescent="0.3">
      <c r="A88" s="4">
        <v>53</v>
      </c>
      <c r="B88" s="6">
        <v>11</v>
      </c>
      <c r="C88" s="6">
        <v>13</v>
      </c>
      <c r="D88" s="6">
        <v>24</v>
      </c>
    </row>
    <row r="89" spans="1:4" x14ac:dyDescent="0.3">
      <c r="A89" s="4">
        <v>54</v>
      </c>
      <c r="B89" s="6">
        <v>5</v>
      </c>
      <c r="C89" s="6">
        <v>11</v>
      </c>
      <c r="D89" s="6">
        <v>16</v>
      </c>
    </row>
    <row r="90" spans="1:4" x14ac:dyDescent="0.3">
      <c r="A90" s="4">
        <v>55</v>
      </c>
      <c r="B90" s="6">
        <v>13</v>
      </c>
      <c r="C90" s="6">
        <v>5</v>
      </c>
      <c r="D90" s="6">
        <v>18</v>
      </c>
    </row>
    <row r="91" spans="1:4" x14ac:dyDescent="0.3">
      <c r="A91" s="4">
        <v>56</v>
      </c>
      <c r="B91" s="6">
        <v>13</v>
      </c>
      <c r="C91" s="6">
        <v>3</v>
      </c>
      <c r="D91" s="6">
        <v>16</v>
      </c>
    </row>
    <row r="92" spans="1:4" x14ac:dyDescent="0.3">
      <c r="A92" s="4">
        <v>57</v>
      </c>
      <c r="B92" s="6">
        <v>4</v>
      </c>
      <c r="C92" s="6">
        <v>4</v>
      </c>
      <c r="D92" s="6">
        <v>8</v>
      </c>
    </row>
    <row r="93" spans="1:4" x14ac:dyDescent="0.3">
      <c r="A93" s="4">
        <v>58</v>
      </c>
      <c r="B93" s="6">
        <v>8</v>
      </c>
      <c r="C93" s="6">
        <v>4</v>
      </c>
      <c r="D93" s="6">
        <v>12</v>
      </c>
    </row>
    <row r="94" spans="1:4" x14ac:dyDescent="0.3">
      <c r="A94" s="4">
        <v>59</v>
      </c>
      <c r="B94" s="6">
        <v>14</v>
      </c>
      <c r="C94" s="6">
        <v>6</v>
      </c>
      <c r="D94" s="6">
        <v>20</v>
      </c>
    </row>
    <row r="95" spans="1:4" x14ac:dyDescent="0.3">
      <c r="A95" s="4">
        <v>60</v>
      </c>
      <c r="B95" s="6">
        <v>8</v>
      </c>
      <c r="C95" s="6">
        <v>7</v>
      </c>
      <c r="D95" s="6">
        <v>15</v>
      </c>
    </row>
    <row r="96" spans="1:4" x14ac:dyDescent="0.3">
      <c r="A96" s="4">
        <v>61</v>
      </c>
      <c r="B96" s="6">
        <v>5</v>
      </c>
      <c r="C96" s="6">
        <v>4</v>
      </c>
      <c r="D96" s="6">
        <v>9</v>
      </c>
    </row>
    <row r="97" spans="1:4" x14ac:dyDescent="0.3">
      <c r="A97" s="4">
        <v>62</v>
      </c>
      <c r="B97" s="6">
        <v>9</v>
      </c>
      <c r="C97" s="6">
        <v>4</v>
      </c>
      <c r="D97" s="6">
        <v>13</v>
      </c>
    </row>
    <row r="98" spans="1:4" x14ac:dyDescent="0.3">
      <c r="A98" s="4">
        <v>63</v>
      </c>
      <c r="B98" s="6">
        <v>7</v>
      </c>
      <c r="C98" s="6">
        <v>2</v>
      </c>
      <c r="D98" s="6">
        <v>9</v>
      </c>
    </row>
    <row r="99" spans="1:4" x14ac:dyDescent="0.3">
      <c r="A99" s="4">
        <v>64</v>
      </c>
      <c r="B99" s="6">
        <v>7</v>
      </c>
      <c r="C99" s="6">
        <v>3</v>
      </c>
      <c r="D99" s="6">
        <v>10</v>
      </c>
    </row>
    <row r="100" spans="1:4" x14ac:dyDescent="0.3">
      <c r="A100" s="4">
        <v>65</v>
      </c>
      <c r="B100" s="6">
        <v>6</v>
      </c>
      <c r="C100" s="6">
        <v>3</v>
      </c>
      <c r="D100" s="6">
        <v>9</v>
      </c>
    </row>
    <row r="101" spans="1:4" x14ac:dyDescent="0.3">
      <c r="A101" s="4">
        <v>66</v>
      </c>
      <c r="B101" s="6">
        <v>8</v>
      </c>
      <c r="C101" s="6">
        <v>6</v>
      </c>
      <c r="D101" s="6">
        <v>14</v>
      </c>
    </row>
    <row r="102" spans="1:4" x14ac:dyDescent="0.3">
      <c r="A102" s="4">
        <v>67</v>
      </c>
      <c r="B102" s="6">
        <v>8</v>
      </c>
      <c r="C102" s="6">
        <v>2</v>
      </c>
      <c r="D102" s="6">
        <v>10</v>
      </c>
    </row>
    <row r="103" spans="1:4" x14ac:dyDescent="0.3">
      <c r="A103" s="4">
        <v>68</v>
      </c>
      <c r="B103" s="6">
        <v>3</v>
      </c>
      <c r="C103" s="6"/>
      <c r="D103" s="6">
        <v>3</v>
      </c>
    </row>
    <row r="104" spans="1:4" x14ac:dyDescent="0.3">
      <c r="A104" s="4">
        <v>69</v>
      </c>
      <c r="B104" s="6">
        <v>8</v>
      </c>
      <c r="C104" s="6"/>
      <c r="D104" s="6">
        <v>8</v>
      </c>
    </row>
    <row r="105" spans="1:4" x14ac:dyDescent="0.3">
      <c r="A105" s="4">
        <v>70</v>
      </c>
      <c r="B105" s="6">
        <v>3</v>
      </c>
      <c r="C105" s="6">
        <v>1</v>
      </c>
      <c r="D105" s="6">
        <v>4</v>
      </c>
    </row>
    <row r="106" spans="1:4" x14ac:dyDescent="0.3">
      <c r="A106" s="4">
        <v>71</v>
      </c>
      <c r="B106" s="6">
        <v>1</v>
      </c>
      <c r="C106" s="6"/>
      <c r="D106" s="6">
        <v>1</v>
      </c>
    </row>
    <row r="107" spans="1:4" x14ac:dyDescent="0.3">
      <c r="A107" s="4">
        <v>72</v>
      </c>
      <c r="B107" s="6"/>
      <c r="C107" s="6">
        <v>1</v>
      </c>
      <c r="D107" s="6">
        <v>1</v>
      </c>
    </row>
    <row r="108" spans="1:4" x14ac:dyDescent="0.3">
      <c r="A108" s="4">
        <v>73</v>
      </c>
      <c r="B108" s="6">
        <v>2</v>
      </c>
      <c r="C108" s="6">
        <v>2</v>
      </c>
      <c r="D108" s="6">
        <v>4</v>
      </c>
    </row>
    <row r="109" spans="1:4" x14ac:dyDescent="0.3">
      <c r="A109" s="4">
        <v>74</v>
      </c>
      <c r="B109" s="6"/>
      <c r="C109" s="6">
        <v>1</v>
      </c>
      <c r="D109" s="6">
        <v>1</v>
      </c>
    </row>
    <row r="110" spans="1:4" x14ac:dyDescent="0.3">
      <c r="A110" s="4">
        <v>78</v>
      </c>
      <c r="B110" s="6">
        <v>1</v>
      </c>
      <c r="C110" s="6">
        <v>1</v>
      </c>
      <c r="D110" s="6">
        <v>2</v>
      </c>
    </row>
    <row r="111" spans="1:4" x14ac:dyDescent="0.3">
      <c r="A111" s="4">
        <v>80</v>
      </c>
      <c r="B111" s="6">
        <v>1</v>
      </c>
      <c r="C111" s="6"/>
      <c r="D111" s="6">
        <v>1</v>
      </c>
    </row>
    <row r="112" spans="1:4" x14ac:dyDescent="0.3">
      <c r="A112" s="4">
        <v>89</v>
      </c>
      <c r="B112" s="6">
        <v>1</v>
      </c>
      <c r="C112" s="6"/>
      <c r="D112" s="6">
        <v>1</v>
      </c>
    </row>
    <row r="113" spans="1:4" x14ac:dyDescent="0.3">
      <c r="A113" s="4" t="s">
        <v>42</v>
      </c>
      <c r="B113" s="6">
        <v>519</v>
      </c>
      <c r="C113" s="6">
        <v>481</v>
      </c>
      <c r="D113"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FBDED-4676-4BB5-9A67-D2AEAF00FC12}">
  <dimension ref="E1:P5"/>
  <sheetViews>
    <sheetView tabSelected="1" zoomScale="90" zoomScaleNormal="90" workbookViewId="0">
      <selection activeCell="E1" sqref="E1:P4"/>
    </sheetView>
  </sheetViews>
  <sheetFormatPr defaultRowHeight="14.4" x14ac:dyDescent="0.3"/>
  <sheetData>
    <row r="1" spans="5:16" ht="14.4" customHeight="1" x14ac:dyDescent="0.3">
      <c r="E1" s="5" t="s">
        <v>50</v>
      </c>
      <c r="F1" s="5"/>
      <c r="G1" s="5"/>
      <c r="H1" s="5"/>
      <c r="I1" s="5"/>
      <c r="J1" s="5"/>
      <c r="K1" s="5"/>
      <c r="L1" s="5"/>
      <c r="M1" s="5"/>
      <c r="N1" s="5"/>
      <c r="O1" s="5"/>
      <c r="P1" s="5"/>
    </row>
    <row r="2" spans="5:16" ht="14.4" customHeight="1" x14ac:dyDescent="0.3">
      <c r="E2" s="5"/>
      <c r="F2" s="5"/>
      <c r="G2" s="5"/>
      <c r="H2" s="5"/>
      <c r="I2" s="5"/>
      <c r="J2" s="5"/>
      <c r="K2" s="5"/>
      <c r="L2" s="5"/>
      <c r="M2" s="5"/>
      <c r="N2" s="5"/>
      <c r="O2" s="5"/>
      <c r="P2" s="5"/>
    </row>
    <row r="3" spans="5:16" ht="14.4" customHeight="1" x14ac:dyDescent="0.3">
      <c r="E3" s="5"/>
      <c r="F3" s="5"/>
      <c r="G3" s="5"/>
      <c r="H3" s="5"/>
      <c r="I3" s="5"/>
      <c r="J3" s="5"/>
      <c r="K3" s="5"/>
      <c r="L3" s="5"/>
      <c r="M3" s="5"/>
      <c r="N3" s="5"/>
      <c r="O3" s="5"/>
      <c r="P3" s="5"/>
    </row>
    <row r="4" spans="5:16" ht="14.4" customHeight="1" x14ac:dyDescent="0.3">
      <c r="E4" s="5"/>
      <c r="F4" s="5"/>
      <c r="G4" s="5"/>
      <c r="H4" s="5"/>
      <c r="I4" s="5"/>
      <c r="J4" s="5"/>
      <c r="K4" s="5"/>
      <c r="L4" s="5"/>
      <c r="M4" s="5"/>
      <c r="N4" s="5"/>
      <c r="O4" s="5"/>
      <c r="P4" s="5"/>
    </row>
    <row r="5" spans="5:16" ht="14.4" customHeight="1" x14ac:dyDescent="0.3"/>
  </sheetData>
  <mergeCells count="1">
    <mergeCell ref="E1: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Pivote table</vt:lpstr>
      <vt:lpstr>Dasshboard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Abdelzaher</cp:lastModifiedBy>
  <dcterms:created xsi:type="dcterms:W3CDTF">2022-03-18T02:50:57Z</dcterms:created>
  <dcterms:modified xsi:type="dcterms:W3CDTF">2026-03-15T11:22:26Z</dcterms:modified>
</cp:coreProperties>
</file>